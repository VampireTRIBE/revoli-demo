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kavita/Desktop/"/>
    </mc:Choice>
  </mc:AlternateContent>
  <xr:revisionPtr revIDLastSave="0" documentId="8_{B7CADBCC-D88B-3B49-80FF-3ABAAE4BE43C}" xr6:coauthVersionLast="47" xr6:coauthVersionMax="47" xr10:uidLastSave="{00000000-0000-0000-0000-000000000000}"/>
  <bookViews>
    <workbookView xWindow="0" yWindow="600" windowWidth="28800" windowHeight="16440" activeTab="11" xr2:uid="{00000000-000D-0000-FFFF-FFFF00000000}"/>
  </bookViews>
  <sheets>
    <sheet name="Reconciliation" sheetId="1" r:id="rId1"/>
    <sheet name="Jan 2026" sheetId="2" r:id="rId2"/>
    <sheet name="Feb 2026" sheetId="3" r:id="rId3"/>
    <sheet name="Mar 2026" sheetId="4" r:id="rId4"/>
    <sheet name="Apr 2026" sheetId="5" r:id="rId5"/>
    <sheet name="May 2026" sheetId="6" r:id="rId6"/>
    <sheet name="Jun 2026" sheetId="7" r:id="rId7"/>
    <sheet name="Jul 2026" sheetId="8" r:id="rId8"/>
    <sheet name="Aug 2026" sheetId="9" r:id="rId9"/>
    <sheet name="Sep 2026" sheetId="10" r:id="rId10"/>
    <sheet name="Master Brand Map" sheetId="11" r:id="rId11"/>
    <sheet name="Campaign Brand Map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10" l="1"/>
  <c r="M14" i="1" s="1"/>
  <c r="N14" i="1" s="1"/>
  <c r="G123" i="10"/>
  <c r="F123" i="10"/>
  <c r="E123" i="10"/>
  <c r="H130" i="9"/>
  <c r="M13" i="1" s="1"/>
  <c r="N13" i="1" s="1"/>
  <c r="G130" i="9"/>
  <c r="F130" i="9"/>
  <c r="E130" i="9"/>
  <c r="D13" i="1" s="1"/>
  <c r="E13" i="1" s="1"/>
  <c r="O13" i="1" s="1"/>
  <c r="H131" i="8"/>
  <c r="G131" i="8"/>
  <c r="F131" i="8"/>
  <c r="E131" i="8"/>
  <c r="H130" i="7"/>
  <c r="G130" i="7"/>
  <c r="F130" i="7"/>
  <c r="E130" i="7"/>
  <c r="H128" i="6"/>
  <c r="G128" i="6"/>
  <c r="F128" i="6"/>
  <c r="E128" i="6"/>
  <c r="H127" i="5"/>
  <c r="M9" i="1" s="1"/>
  <c r="N9" i="1" s="1"/>
  <c r="G127" i="5"/>
  <c r="J9" i="1" s="1"/>
  <c r="K9" i="1" s="1"/>
  <c r="F127" i="5"/>
  <c r="G9" i="1" s="1"/>
  <c r="H9" i="1" s="1"/>
  <c r="E127" i="5"/>
  <c r="D9" i="1" s="1"/>
  <c r="E9" i="1" s="1"/>
  <c r="O9" i="1" s="1"/>
  <c r="H123" i="4"/>
  <c r="M8" i="1" s="1"/>
  <c r="N8" i="1" s="1"/>
  <c r="G123" i="4"/>
  <c r="J8" i="1" s="1"/>
  <c r="K8" i="1" s="1"/>
  <c r="F123" i="4"/>
  <c r="G8" i="1" s="1"/>
  <c r="H8" i="1" s="1"/>
  <c r="E123" i="4"/>
  <c r="D8" i="1" s="1"/>
  <c r="E8" i="1" s="1"/>
  <c r="O8" i="1" s="1"/>
  <c r="H153" i="3"/>
  <c r="M7" i="1" s="1"/>
  <c r="N7" i="1" s="1"/>
  <c r="G153" i="3"/>
  <c r="J7" i="1" s="1"/>
  <c r="K7" i="1" s="1"/>
  <c r="F153" i="3"/>
  <c r="G7" i="1" s="1"/>
  <c r="H7" i="1" s="1"/>
  <c r="E153" i="3"/>
  <c r="D7" i="1" s="1"/>
  <c r="E7" i="1" s="1"/>
  <c r="O7" i="1" s="1"/>
  <c r="H120" i="2"/>
  <c r="M6" i="1" s="1"/>
  <c r="N6" i="1" s="1"/>
  <c r="G120" i="2"/>
  <c r="J6" i="1" s="1"/>
  <c r="K6" i="1" s="1"/>
  <c r="F120" i="2"/>
  <c r="G6" i="1" s="1"/>
  <c r="H6" i="1" s="1"/>
  <c r="E120" i="2"/>
  <c r="D6" i="1" s="1"/>
  <c r="E6" i="1" s="1"/>
  <c r="O6" i="1" s="1"/>
  <c r="J14" i="1"/>
  <c r="K14" i="1" s="1"/>
  <c r="G14" i="1"/>
  <c r="H14" i="1" s="1"/>
  <c r="D14" i="1"/>
  <c r="E14" i="1" s="1"/>
  <c r="O14" i="1" s="1"/>
  <c r="J13" i="1"/>
  <c r="K13" i="1" s="1"/>
  <c r="G13" i="1"/>
  <c r="H13" i="1" s="1"/>
  <c r="M12" i="1"/>
  <c r="N12" i="1" s="1"/>
  <c r="J12" i="1"/>
  <c r="K12" i="1" s="1"/>
  <c r="G12" i="1"/>
  <c r="H12" i="1" s="1"/>
  <c r="D12" i="1"/>
  <c r="E12" i="1" s="1"/>
  <c r="O12" i="1" s="1"/>
  <c r="M11" i="1"/>
  <c r="N11" i="1" s="1"/>
  <c r="J11" i="1"/>
  <c r="K11" i="1" s="1"/>
  <c r="G11" i="1"/>
  <c r="H11" i="1" s="1"/>
  <c r="D11" i="1"/>
  <c r="E11" i="1" s="1"/>
  <c r="O11" i="1" s="1"/>
  <c r="M10" i="1"/>
  <c r="N10" i="1" s="1"/>
  <c r="J10" i="1"/>
  <c r="K10" i="1" s="1"/>
  <c r="G10" i="1"/>
  <c r="H10" i="1" s="1"/>
  <c r="D10" i="1"/>
  <c r="E10" i="1" s="1"/>
  <c r="O10" i="1" s="1"/>
</calcChain>
</file>

<file path=xl/sharedStrings.xml><?xml version="1.0" encoding="utf-8"?>
<sst xmlns="http://schemas.openxmlformats.org/spreadsheetml/2006/main" count="8814" uniqueCount="721">
  <si>
    <t>Rivoli Shop segmentation reconciliation</t>
  </si>
  <si>
    <t>January to August are full months. September covers 1–10 September 2026. All four funnel measures reconcile to the original monthly exports.</t>
  </si>
  <si>
    <t>Month</t>
  </si>
  <si>
    <t>Period status</t>
  </si>
  <si>
    <t>Source items viewed</t>
  </si>
  <si>
    <t>Segmented items viewed</t>
  </si>
  <si>
    <t>Viewed variance</t>
  </si>
  <si>
    <t>Source items added to cart</t>
  </si>
  <si>
    <t>Segmented items added to cart</t>
  </si>
  <si>
    <t>Cart variance</t>
  </si>
  <si>
    <t>Source items purchased</t>
  </si>
  <si>
    <t>Segmented items purchased</t>
  </si>
  <si>
    <t>Purchase variance</t>
  </si>
  <si>
    <t>Source revenue (AED)</t>
  </si>
  <si>
    <t>Segmented revenue (AED)</t>
  </si>
  <si>
    <t>Revenue variance</t>
  </si>
  <si>
    <t>Status</t>
  </si>
  <si>
    <t>Control</t>
  </si>
  <si>
    <t>Result</t>
  </si>
  <si>
    <t>Jan 2026</t>
  </si>
  <si>
    <t>Full month</t>
  </si>
  <si>
    <t>Months checked</t>
  </si>
  <si>
    <t>Feb 2026</t>
  </si>
  <si>
    <t>Mar 2026</t>
  </si>
  <si>
    <t>Apr 2026</t>
  </si>
  <si>
    <t>May 2026</t>
  </si>
  <si>
    <t>Jun 2026</t>
  </si>
  <si>
    <t>Campaign rows</t>
  </si>
  <si>
    <t>Jul 2026</t>
  </si>
  <si>
    <t>Campaign rows without brand</t>
  </si>
  <si>
    <t>Aug 2026</t>
  </si>
  <si>
    <t>Named-brand mismatches</t>
  </si>
  <si>
    <t>Sep 2026</t>
  </si>
  <si>
    <t>Partial month</t>
  </si>
  <si>
    <t>Campaign cost (AED)</t>
  </si>
  <si>
    <t>Final segment</t>
  </si>
  <si>
    <t>Items viewed</t>
  </si>
  <si>
    <t>Items added to cart</t>
  </si>
  <si>
    <t>Items purchased</t>
  </si>
  <si>
    <t>Item revenue (AED)</t>
  </si>
  <si>
    <t>Share of revenue</t>
  </si>
  <si>
    <t>Swiss</t>
  </si>
  <si>
    <t>Fashion</t>
  </si>
  <si>
    <t>House of Evaco</t>
  </si>
  <si>
    <t>Microbrands</t>
  </si>
  <si>
    <t>Other Watches</t>
  </si>
  <si>
    <t>Accessories</t>
  </si>
  <si>
    <t>Fashion Jewellery</t>
  </si>
  <si>
    <t>Pre-owned</t>
  </si>
  <si>
    <t>Bundles</t>
  </si>
  <si>
    <t>Non-brand / Tactical</t>
  </si>
  <si>
    <t>Historical / Excluded Returns</t>
  </si>
  <si>
    <t>Needs Review</t>
  </si>
  <si>
    <t>Jan 2026 segmented funnel and revenue</t>
  </si>
  <si>
    <t>2026-01-01 to 2026-01-31. Full month. Viewed, added-to-cart, purchased and revenue values reconcile to the original monthly export.</t>
  </si>
  <si>
    <t>Final canonical brand</t>
  </si>
  <si>
    <t>Known aliases</t>
  </si>
  <si>
    <t>Mapping status</t>
  </si>
  <si>
    <t>Source canonical label(s)</t>
  </si>
  <si>
    <t>Tissot</t>
  </si>
  <si>
    <t>Tissot | tissot | تيسو</t>
  </si>
  <si>
    <t>Approved</t>
  </si>
  <si>
    <t>Longines</t>
  </si>
  <si>
    <t>Longines | longines | لونجين</t>
  </si>
  <si>
    <t>Rado</t>
  </si>
  <si>
    <t>Rado | rado | رادو</t>
  </si>
  <si>
    <t>Hamilton</t>
  </si>
  <si>
    <t>Hamilton | hamilton | هاملتون</t>
  </si>
  <si>
    <t>Omega</t>
  </si>
  <si>
    <t>OMEGA | Omega | omega | أوميغا</t>
  </si>
  <si>
    <t>Certina</t>
  </si>
  <si>
    <t>Certina | certina | سيرتينا</t>
  </si>
  <si>
    <t>Mido</t>
  </si>
  <si>
    <t>Mido | mido | ميدو</t>
  </si>
  <si>
    <t>Tommy Hilfiger</t>
  </si>
  <si>
    <t>Tommy Hilfiger | tommy_hilfiger | تومي هيلفجر</t>
  </si>
  <si>
    <t>Calvin Klein</t>
  </si>
  <si>
    <t>Calvin Klein | calvin_klein | كلفن كلاين</t>
  </si>
  <si>
    <t>Lacoste</t>
  </si>
  <si>
    <t>Lacoste | lacoste | لاكوست</t>
  </si>
  <si>
    <t>Balmain</t>
  </si>
  <si>
    <t>Balmain | balmain | بالمان</t>
  </si>
  <si>
    <t>Coach</t>
  </si>
  <si>
    <t>Coach | coach | كوتش</t>
  </si>
  <si>
    <t>Gucci</t>
  </si>
  <si>
    <t>Gucci | gucci | غوتشي</t>
  </si>
  <si>
    <t>CAT</t>
  </si>
  <si>
    <t>CAT | Cat | cat | كات</t>
  </si>
  <si>
    <t>Anne Klein</t>
  </si>
  <si>
    <t>Anne Klein | anne_klein | آن كلاين</t>
  </si>
  <si>
    <t>Boss</t>
  </si>
  <si>
    <t>Boss | boss | بوص</t>
  </si>
  <si>
    <t>Kenneth Cole</t>
  </si>
  <si>
    <t>Kenneth Cole | kenneth_cole | كينيث كول</t>
  </si>
  <si>
    <t>Versace</t>
  </si>
  <si>
    <t>Versace | versace | فيرزاتشي</t>
  </si>
  <si>
    <t>Aigner</t>
  </si>
  <si>
    <t>Aigner | aigner | آغنر</t>
  </si>
  <si>
    <t>Maserati</t>
  </si>
  <si>
    <t>MASERATI | Maserati | maserati | مازيراتي</t>
  </si>
  <si>
    <t>Ferragamo</t>
  </si>
  <si>
    <t>Ferragamo | فيراغامو</t>
  </si>
  <si>
    <t>Hugo</t>
  </si>
  <si>
    <t>Hugo | هوجو</t>
  </si>
  <si>
    <t>Hugo Boss</t>
  </si>
  <si>
    <t>Hugo Boss | هوجو بوص</t>
  </si>
  <si>
    <t>Juicy Couture</t>
  </si>
  <si>
    <t>Juicy Couture | جوسي كوتور</t>
  </si>
  <si>
    <t>Scuderia Ferrari</t>
  </si>
  <si>
    <t>Scuderia Ferrari | سكوديريا فيراري</t>
  </si>
  <si>
    <t>Steve Madden</t>
  </si>
  <si>
    <t>Steve Madden | ستيف مادن</t>
  </si>
  <si>
    <t>Timberland</t>
  </si>
  <si>
    <t>Timberland | تمبرلاند</t>
  </si>
  <si>
    <t>Vince Camuto</t>
  </si>
  <si>
    <t>Vince Camuto | فينس كاموتو</t>
  </si>
  <si>
    <t>Vivienne Westwood</t>
  </si>
  <si>
    <t>4 Continental</t>
  </si>
  <si>
    <t>4 Continental | Continental | continental | كونتيننتال</t>
  </si>
  <si>
    <t>Everswiss</t>
  </si>
  <si>
    <t>EverSwiss | Everswiss | everswiss</t>
  </si>
  <si>
    <t>Cruiser</t>
  </si>
  <si>
    <t>Cruiser | cruiser | كروزر</t>
  </si>
  <si>
    <t>Beaubleu</t>
  </si>
  <si>
    <t>Beaubleu | beaubleu | بوبلو</t>
  </si>
  <si>
    <t>Baltic</t>
  </si>
  <si>
    <t>Baltic | baltic | بالتيك</t>
  </si>
  <si>
    <t>Zeppelin</t>
  </si>
  <si>
    <t>Zeppelin | zeppelin | زبلين</t>
  </si>
  <si>
    <t>Xeric</t>
  </si>
  <si>
    <t>Xeric | xeric | زيريك</t>
  </si>
  <si>
    <t>Saga</t>
  </si>
  <si>
    <t>Saga | saga</t>
  </si>
  <si>
    <t>Bomberg</t>
  </si>
  <si>
    <t>Bomberg | بومبيرج</t>
  </si>
  <si>
    <t>Obaku</t>
  </si>
  <si>
    <t>Obaku | اوباكو</t>
  </si>
  <si>
    <t>Ebel</t>
  </si>
  <si>
    <t>Ebel | ebel | ايبل</t>
  </si>
  <si>
    <t>Titan</t>
  </si>
  <si>
    <t>Titan | titan | تيتان</t>
  </si>
  <si>
    <t>Bering</t>
  </si>
  <si>
    <t>Bering | bering | بيرينج</t>
  </si>
  <si>
    <t>Timex</t>
  </si>
  <si>
    <t>Timex | timex | تايمكس</t>
  </si>
  <si>
    <t>Fastrack</t>
  </si>
  <si>
    <t>Fastrack | fastrack | فاستراك</t>
  </si>
  <si>
    <t>Armitron</t>
  </si>
  <si>
    <t>Armitron | ارمترون</t>
  </si>
  <si>
    <t>Carl F. Bucherer</t>
  </si>
  <si>
    <t>CARL F BUCHERER | Carl F. Bucherer</t>
  </si>
  <si>
    <t>Canonical name recalibrated</t>
  </si>
  <si>
    <t>Carl F Bucherer</t>
  </si>
  <si>
    <t>Concord</t>
  </si>
  <si>
    <t>Concord | كونكورد</t>
  </si>
  <si>
    <t>Ingersoll</t>
  </si>
  <si>
    <t>Ingersoll | إنجرسول</t>
  </si>
  <si>
    <t>Jacques du Manoir</t>
  </si>
  <si>
    <t>Jacques Du Manoir | Jacques du Manoir | جاك دو مانوير</t>
  </si>
  <si>
    <t>Movado</t>
  </si>
  <si>
    <t>MVMT</t>
  </si>
  <si>
    <t>MVMT | Mvmt | ام في ام تي</t>
  </si>
  <si>
    <t>Olivia Burton</t>
  </si>
  <si>
    <t>Olivia Burton | اوليفيا بورتون</t>
  </si>
  <si>
    <t>Roamer</t>
  </si>
  <si>
    <t>Roamer | رومر</t>
  </si>
  <si>
    <t>Sector</t>
  </si>
  <si>
    <t>Sector | سيكتور</t>
  </si>
  <si>
    <t>Union Glashuette</t>
  </si>
  <si>
    <t>Union Glashuette | Union Glashutte</t>
  </si>
  <si>
    <t>Union Glashutte</t>
  </si>
  <si>
    <t>Montblanc</t>
  </si>
  <si>
    <t>Montblanc | montblanc | مون بلان</t>
  </si>
  <si>
    <t>Wolf</t>
  </si>
  <si>
    <t>WOLF | Wolf | wolf | وولف</t>
  </si>
  <si>
    <t>Delugs</t>
  </si>
  <si>
    <t>Delugs | delugs | ديلوجز</t>
  </si>
  <si>
    <t>Bergeon</t>
  </si>
  <si>
    <t>Bergeon | bergeon | بيرجون</t>
  </si>
  <si>
    <t>Bangle-Up</t>
  </si>
  <si>
    <t>Bangle-Up | bangle_up | بانجل-أب</t>
  </si>
  <si>
    <t>Included — website verified</t>
  </si>
  <si>
    <t>Andrea Marazzini</t>
  </si>
  <si>
    <t>Andrea Marazzini | andrea_marazzini | أندريا مارازيني</t>
  </si>
  <si>
    <t>Hot Diamonds</t>
  </si>
  <si>
    <t>Hot Diamonds | hot_diamonds | هوت دايموندز</t>
  </si>
  <si>
    <t>Lily Charmed</t>
  </si>
  <si>
    <t>Lily Charmed | lily_charmed</t>
  </si>
  <si>
    <t>Satellite</t>
  </si>
  <si>
    <t>Satellite | satellite | ستالايت</t>
  </si>
  <si>
    <t>Colette Market</t>
  </si>
  <si>
    <t>Colette Market | كوليت ماركت</t>
  </si>
  <si>
    <t>Fili Plaza</t>
  </si>
  <si>
    <t>Fili Plaza | فيلي بلازا</t>
  </si>
  <si>
    <t>Kalliope</t>
  </si>
  <si>
    <t>Kalliope | كاليوبي</t>
  </si>
  <si>
    <t>Madreperla</t>
  </si>
  <si>
    <t>Madreperla | مادري بيرلا</t>
  </si>
  <si>
    <t>Mon Reve</t>
  </si>
  <si>
    <t>Mon Reve | مون ريف</t>
  </si>
  <si>
    <t>Ori Tao</t>
  </si>
  <si>
    <t>Ori Tao | أوري تاو</t>
  </si>
  <si>
    <t>Pertegaz</t>
  </si>
  <si>
    <t>Pertegaz | بيرتيجاز</t>
  </si>
  <si>
    <t>Soyang Paris</t>
  </si>
  <si>
    <t>Soyang Paris | سويانج باريس</t>
  </si>
  <si>
    <t>YParis</t>
  </si>
  <si>
    <t>YParis | يباريس</t>
  </si>
  <si>
    <t>Blancpain (pre-owned)</t>
  </si>
  <si>
    <t>BLANCPAIN RELOVED | Blancpain (pre-owned) | بلانبان مستعملة</t>
  </si>
  <si>
    <t>Proposed addition</t>
  </si>
  <si>
    <t>Breguet (pre-owned)</t>
  </si>
  <si>
    <t>BREGUET RELOVED | Breguet (pre-owned) | بريجيه مُستعملة</t>
  </si>
  <si>
    <t>Proposed historical mapping</t>
  </si>
  <si>
    <t>Bremont (pre-owned)</t>
  </si>
  <si>
    <t>Bremont (pre-owned) | Bremont Reloved</t>
  </si>
  <si>
    <t>Carl F. Bucherer (pre-owned)</t>
  </si>
  <si>
    <t>CARL F BUCHERER RELOVED | Carl F. Bucherer (pre-owned) | كارل إف بوشرر مستعملة</t>
  </si>
  <si>
    <t>Cartier (pre-owned)</t>
  </si>
  <si>
    <t>CARTIER RELOVED | Cartier (pre-owned)</t>
  </si>
  <si>
    <t>Girard-Perregaux (pre-owned)</t>
  </si>
  <si>
    <t>GIRARD-PERREGAUX RELOVED | Girard-Perregaux (pre-owned) | جيرارد بيريجو مستعملة</t>
  </si>
  <si>
    <t>Glashutte Original (pre-owned)</t>
  </si>
  <si>
    <t>GLASHUTTE RELOVED | Glashutte Original (pre-owned) | جلاشوت اورجينال مستعملة</t>
  </si>
  <si>
    <t>Harry Winston (pre-owned)</t>
  </si>
  <si>
    <t>HARRY WINSTON RELOVED | Harry Winston (pre-owned) | هاري وينستون مُستعملة</t>
  </si>
  <si>
    <t>Jaeger-LeCoultre (pre-owned)</t>
  </si>
  <si>
    <t>JAEGER-LE-COULTRE RELOVED | Jaeger-LeCoultre (pre-owned) | جيجر لوكولتر مُستعملة</t>
  </si>
  <si>
    <t>Jaquet Droz (pre-owned)</t>
  </si>
  <si>
    <t>JAQUET DROZ RELOVED | Jaquet Droz (pre-owned) | جاكيه دروز مستعملة</t>
  </si>
  <si>
    <t>Longines (pre-owned)</t>
  </si>
  <si>
    <t>LONGINES RELOVED | Longines (pre-owned) | لونجين مستعملة</t>
  </si>
  <si>
    <t>Omega (pre-owned)</t>
  </si>
  <si>
    <t>OMEGA RELOVED | Omega (pre-owned) | أوميغا مستعملة</t>
  </si>
  <si>
    <t>Rado (pre-owned)</t>
  </si>
  <si>
    <t>Rado (pre-owned) | Rado Reloved</t>
  </si>
  <si>
    <t>Wyler (pre-owned)</t>
  </si>
  <si>
    <t>WYLER RELOVED | Wyler (pre-owned)</t>
  </si>
  <si>
    <t>Zenith (pre-owned)</t>
  </si>
  <si>
    <t>ZENITH RELOVED | Zenith (pre-owned) | زينيث مستعملة</t>
  </si>
  <si>
    <t>Hamilton + Balmain</t>
  </si>
  <si>
    <t>Hamilton + Balmain | Hamilton and Balmain</t>
  </si>
  <si>
    <t>Proposed bundle mapping</t>
  </si>
  <si>
    <t>Rado + Rado</t>
  </si>
  <si>
    <t>Rado + Rado | Rado and Rado | رادو آند رادو</t>
  </si>
  <si>
    <t>Tissot + Balmain</t>
  </si>
  <si>
    <t>Tissot + Balmain | Tissot and Balmain</t>
  </si>
  <si>
    <t>Tissot + Rado</t>
  </si>
  <si>
    <t>Rado and Tissot | Tissot + Rado | Tissot and Rado</t>
  </si>
  <si>
    <t>(Blank brand)</t>
  </si>
  <si>
    <t>Non-brand row</t>
  </si>
  <si>
    <t>(Not set)</t>
  </si>
  <si>
    <t>(Not set) | (not set)</t>
  </si>
  <si>
    <t>[Data error: object]</t>
  </si>
  <si>
    <t>[Data error: object] | [object Object]</t>
  </si>
  <si>
    <t>Gift with purchase</t>
  </si>
  <si>
    <t>Free Gift With Purchase | Gift with purchase | gwp | هدية مجانية مع طلبك</t>
  </si>
  <si>
    <t>Pandora</t>
  </si>
  <si>
    <t>Pandora | باندورا</t>
  </si>
  <si>
    <t>Outside active segmentation</t>
  </si>
  <si>
    <t>Blancpain</t>
  </si>
  <si>
    <t>BLANCPAIN | Blancpain | بلانبان</t>
  </si>
  <si>
    <t>Review before activation</t>
  </si>
  <si>
    <t>Breguet</t>
  </si>
  <si>
    <t>BREGUET | Breguet | بريغيه</t>
  </si>
  <si>
    <t>Breitling</t>
  </si>
  <si>
    <t>Breitling | بريتلنج</t>
  </si>
  <si>
    <t>Bremont</t>
  </si>
  <si>
    <t>Ettinger</t>
  </si>
  <si>
    <t>Fendi</t>
  </si>
  <si>
    <t>Fendi | فيندي</t>
  </si>
  <si>
    <t>Flik Flak</t>
  </si>
  <si>
    <t>FLIK FLAK | Flik Flak</t>
  </si>
  <si>
    <t>Glashutte Original</t>
  </si>
  <si>
    <t>GLASHUTTE ORIGINAL | Glashutte Original | جلاشوت اورجينال</t>
  </si>
  <si>
    <t>IWC</t>
  </si>
  <si>
    <t>IWC | أي دبليو سي</t>
  </si>
  <si>
    <t>Jaquet Droz</t>
  </si>
  <si>
    <t>JAQUET DROZ | Jaquet Droz | جاكيه دروز</t>
  </si>
  <si>
    <t>Nine West</t>
  </si>
  <si>
    <t>Nova</t>
  </si>
  <si>
    <t>Reebok</t>
  </si>
  <si>
    <t>Reebok | ريبوك</t>
  </si>
  <si>
    <t>Swatch</t>
  </si>
  <si>
    <t>SWATCH | Swatch | سواتش</t>
  </si>
  <si>
    <t>Versus</t>
  </si>
  <si>
    <t>Zenith</t>
  </si>
  <si>
    <t>Zenith | زينيث</t>
  </si>
  <si>
    <t>TOTAL</t>
  </si>
  <si>
    <t>Feb 2026 segmented funnel and revenue</t>
  </si>
  <si>
    <t>2026-02-01 to 2026-02-28. Full month. Viewed, added-to-cart, purchased and revenue values reconcile to the original monthly export.</t>
  </si>
  <si>
    <t>Anne Klein | anne klein | anne_klein | آن كلاين</t>
  </si>
  <si>
    <t>Kenneth Cole | kenneth cole | kenneth_cole | كينيث كول</t>
  </si>
  <si>
    <t>Scuderia Ferrari | scuderia ferrari | سكوديريا فيراري</t>
  </si>
  <si>
    <t>Timberland | timberland | تمبرلاند</t>
  </si>
  <si>
    <t>Calvin Klein | calvin klein | calvin_klein | كلفن كلاين</t>
  </si>
  <si>
    <t>Juicy Couture | juicy couture</t>
  </si>
  <si>
    <t>Tommy Hilfiger | tommy hilfiger | tommy_hilfiger | تومي هيلفجر</t>
  </si>
  <si>
    <t>Hugo | hugo | هوجو</t>
  </si>
  <si>
    <t>Ferragamo | ferragamo | salvatore ferragamo | فيراغامو</t>
  </si>
  <si>
    <t>Hugo Boss | hugo boss | هوجو بوص</t>
  </si>
  <si>
    <t>Steve Madden | steve madden</t>
  </si>
  <si>
    <t>Vince Camuto | vince camuto | فينس كاموتو</t>
  </si>
  <si>
    <t>Vivienne Westwood | فيفيان ويستوود</t>
  </si>
  <si>
    <t>EverSwiss | Everswiss | everswiss | إيفرسويس</t>
  </si>
  <si>
    <t>Obaku | obaku | اوباكو</t>
  </si>
  <si>
    <t>Saga | saga | ساجا</t>
  </si>
  <si>
    <t>Bomberg | bomberg | بومبيرج</t>
  </si>
  <si>
    <t>Armitron | armitron | ارمترون</t>
  </si>
  <si>
    <t>Olivia Burton | olivia burton | اوليفيا بورتون</t>
  </si>
  <si>
    <t>MVMT | Mvmt | mvmt | ام في ام تي</t>
  </si>
  <si>
    <t>Jacques Du Manoir | Jacques du Manoir | jacques du manoir | جاك دو مانوير</t>
  </si>
  <si>
    <t>Concord | concord | كونكورد</t>
  </si>
  <si>
    <t>Delma</t>
  </si>
  <si>
    <t>Delma | delma | دلما</t>
  </si>
  <si>
    <t>Ingersoll | ingersoll | إنجرسول</t>
  </si>
  <si>
    <t>Movado | movado | موفادو</t>
  </si>
  <si>
    <t>Roamer | roamer | رومر</t>
  </si>
  <si>
    <t>Sector | sector | سيكتور</t>
  </si>
  <si>
    <t>Union Glashuette | Union Glashutte | union glashutte</t>
  </si>
  <si>
    <t>Izabel Display</t>
  </si>
  <si>
    <t>Izabel Display | izabel display | إيزابيل ديسبلاي</t>
  </si>
  <si>
    <t>Hot Diamonds | hot diamonds | hot_diamonds | هوت دايموندز</t>
  </si>
  <si>
    <t>Madreperla | madreperla | مادري بيرلا</t>
  </si>
  <si>
    <t>Mon Reve | mon reve | mon_reve | مون ريف</t>
  </si>
  <si>
    <t>Andrea Marazzini | andrea marazzini | andrea_marazzini | أندريا مارازيني</t>
  </si>
  <si>
    <t>Pertegaz | pertegaz | بيرتيجاز</t>
  </si>
  <si>
    <t>Ori Tao | ori tao | ori_tao | أوري تاو</t>
  </si>
  <si>
    <t>Soyang Paris | soyang paris | soyang_paris | سويانج باريس</t>
  </si>
  <si>
    <t>Bangle-Up | bangle-up | bangle_up | بانجل-أب</t>
  </si>
  <si>
    <t>Colette Market | colette market | كوليت ماركت</t>
  </si>
  <si>
    <t>Kalliope | kalliope | كاليوبي</t>
  </si>
  <si>
    <t>Fili Plaza | fili plaza | fili_plaza | فيلي بلازا</t>
  </si>
  <si>
    <t>Lily Charmed | lily charmed | ليلي تشارمد</t>
  </si>
  <si>
    <t>YParis | yparis | يباريس</t>
  </si>
  <si>
    <t>OMEGA RELOVED | Omega (pre-owned) | omega pre-loved | omega reloved | أوميغا مستعملة</t>
  </si>
  <si>
    <t>ZENITH RELOVED | Zenith (pre-owned) | zenith pre-loved | zenith reloved | زينيث مستعملة</t>
  </si>
  <si>
    <t>CARL F BUCHERER RELOVED | Carl F. Bucherer (pre-owned) | carl f bucherer reloved | carl_f_bucherer_preloved | كارل إف بوشرر مستعملة</t>
  </si>
  <si>
    <t>Rado (pre-owned) | Rado Reloved | rado pre-loved | rado reloved</t>
  </si>
  <si>
    <t>LONGINES RELOVED | Longines (pre-owned) | longines pre-loved | longines reloved | لونجين مستعملة</t>
  </si>
  <si>
    <t>BLANCPAIN RELOVED | Blancpain (pre-owned) | blancpain reloved | بلانبان مستعملة</t>
  </si>
  <si>
    <t>BREGUET RELOVED | Breguet (pre-owned) | breguet reloved | بريجيه مُستعملة</t>
  </si>
  <si>
    <t>GIRARD-PERREGAUX RELOVED | Girard-Perregaux (pre-owned) | girard-perregaux reloved | جيرارد بيريجو مستعملة</t>
  </si>
  <si>
    <t>GLASHUTTE RELOVED | Glashutte Original (pre-owned) | glashutte reloved | جلاشوتيه أوريجينال مستعملة</t>
  </si>
  <si>
    <t>JAEGER-LE-COULTRE RELOVED | Jaeger-LeCoultre (pre-owned) | jaeger-le-coultre reloved | جيجر لوكولتر مُستعملة</t>
  </si>
  <si>
    <t>JAQUET DROZ RELOVED | Jaquet Droz (pre-owned) | jaquet droz reloved | جاكيه دروز مستعملة</t>
  </si>
  <si>
    <t>Movado (pre-owned)</t>
  </si>
  <si>
    <t>Movado (pre-owned) | Movado Reloved | موفادو مستعملة</t>
  </si>
  <si>
    <t>Tissot + Calvin Klein</t>
  </si>
  <si>
    <t>Tissot + CK | Tissot + Calvin Klein | tissot + ck</t>
  </si>
  <si>
    <t>Tissot + Tissot</t>
  </si>
  <si>
    <t>Tissot + Tissot | tissot and tissot</t>
  </si>
  <si>
    <t>Tissot + Anne Klein</t>
  </si>
  <si>
    <t>Tissot + Anne Klein | tissot and anne klein</t>
  </si>
  <si>
    <t>Tissot + Certina</t>
  </si>
  <si>
    <t>Tissot + Certina | tissot and certina</t>
  </si>
  <si>
    <t>Rado and Tissot | Tissot + Rado | tissot and rado</t>
  </si>
  <si>
    <t>Tissot + Balmain | Tissot and Balmain | tissot and balmain</t>
  </si>
  <si>
    <t>Kenneth Cole + Kenneth Cole</t>
  </si>
  <si>
    <t>Kenneth Cole + Kenneth Cole | kenneth cole and kenneth cole</t>
  </si>
  <si>
    <t>Web</t>
  </si>
  <si>
    <t>Web | web</t>
  </si>
  <si>
    <t>Free Gift With Purchase | Gift with purchase | free gift with purchase | gwp | هدية مجانية مع طلبك</t>
  </si>
  <si>
    <t>Tom Ford</t>
  </si>
  <si>
    <t>Tom Ford | tom ford</t>
  </si>
  <si>
    <t>Swarovski</t>
  </si>
  <si>
    <t>Swarovski | swarovski</t>
  </si>
  <si>
    <t>Emporio Armani</t>
  </si>
  <si>
    <t>Emporio Armani | emporio armani</t>
  </si>
  <si>
    <t>Saint Laurent</t>
  </si>
  <si>
    <t>Saint Laurent | saint laurent</t>
  </si>
  <si>
    <t>Alcon</t>
  </si>
  <si>
    <t>Alcon | alcon</t>
  </si>
  <si>
    <t>Barton Perreira</t>
  </si>
  <si>
    <t>Barton Perreira | barton perreira</t>
  </si>
  <si>
    <t>BMW</t>
  </si>
  <si>
    <t>BMW | bmw</t>
  </si>
  <si>
    <t>Polar</t>
  </si>
  <si>
    <t>Polar | polar</t>
  </si>
  <si>
    <t>Ray-Ban</t>
  </si>
  <si>
    <t>Ray-Ban | rayban</t>
  </si>
  <si>
    <t>Off White</t>
  </si>
  <si>
    <t>Off White | off white</t>
  </si>
  <si>
    <t>Adidas</t>
  </si>
  <si>
    <t>Adidas | adidas</t>
  </si>
  <si>
    <t>Prada</t>
  </si>
  <si>
    <t>Prada | prada</t>
  </si>
  <si>
    <t>Tod's</t>
  </si>
  <si>
    <t>Tod's | tod's | tods</t>
  </si>
  <si>
    <t>Balenciaga</t>
  </si>
  <si>
    <t>Balenciaga | balenciaga</t>
  </si>
  <si>
    <t>Max Mara</t>
  </si>
  <si>
    <t>Max Mara | max mara</t>
  </si>
  <si>
    <t>Chloe</t>
  </si>
  <si>
    <t>Chloe | chloe</t>
  </si>
  <si>
    <t>Guess</t>
  </si>
  <si>
    <t>Guess | guess</t>
  </si>
  <si>
    <t>Johnson &amp; Johnson</t>
  </si>
  <si>
    <t>Johnson &amp; Johnson | johnson and johnson</t>
  </si>
  <si>
    <t>INXT</t>
  </si>
  <si>
    <t>INXT | inxt</t>
  </si>
  <si>
    <t>Ermenegildo Zegna</t>
  </si>
  <si>
    <t>Ermenegildo Zegna | ermenegildo zegna</t>
  </si>
  <si>
    <t>Pandora | pandora</t>
  </si>
  <si>
    <t>Bella</t>
  </si>
  <si>
    <t>Bella | bella</t>
  </si>
  <si>
    <t>Little Demetz</t>
  </si>
  <si>
    <t>Little Demetz | little demetz</t>
  </si>
  <si>
    <t>Gant</t>
  </si>
  <si>
    <t>Gant | gant</t>
  </si>
  <si>
    <t>Bally</t>
  </si>
  <si>
    <t>Bally | bally</t>
  </si>
  <si>
    <t>Emilio Pucci</t>
  </si>
  <si>
    <t>Emilio Pucci | emilio pucci</t>
  </si>
  <si>
    <t>Diesel</t>
  </si>
  <si>
    <t>Diesel | diesel</t>
  </si>
  <si>
    <t>Aptica</t>
  </si>
  <si>
    <t>BLANCPAIN | Blancpain | blancpain | بلانبان</t>
  </si>
  <si>
    <t>BREGUET | Breguet | breguet | بريغيه</t>
  </si>
  <si>
    <t>Breitling | breitling | بريتلنج</t>
  </si>
  <si>
    <t>Bremont | bremont | بريمونت</t>
  </si>
  <si>
    <t>Fendi | fendi | فيندي</t>
  </si>
  <si>
    <t>GLASHUTTE ORIGINAL | Glashutte Original | glashutte original | جلاشوت اورجينال | جلاشوتيه أوريجينال</t>
  </si>
  <si>
    <t>JAQUET DROZ | Jaquet Droz | jaquet droz | جاكيه دروز</t>
  </si>
  <si>
    <t>Reebok | reebok</t>
  </si>
  <si>
    <t>SWATCH | Swatch</t>
  </si>
  <si>
    <t>Zenith | zenith | زينيث</t>
  </si>
  <si>
    <t>Zoop</t>
  </si>
  <si>
    <t>Mar 2026 segmented funnel and revenue</t>
  </si>
  <si>
    <t>2026-03-01 to 2026-03-31. Full month. Viewed, added-to-cart, purchased and revenue values reconcile to the original monthly export.</t>
  </si>
  <si>
    <t>Maserati | maserati | مازيراتي</t>
  </si>
  <si>
    <t>Ferragamo | ferragamo | فيراغامو</t>
  </si>
  <si>
    <t>Juicy Couture | juicy couture | جوسي كوتور</t>
  </si>
  <si>
    <t>Steve Madden | steve madden | ستيف مادن</t>
  </si>
  <si>
    <t>Vivienne Westwood | vivienne westwood | فيفيان ويستوود</t>
  </si>
  <si>
    <t>Everswiss | everswiss | إيفرسويس</t>
  </si>
  <si>
    <t>Lordson</t>
  </si>
  <si>
    <t>Lordson | lordson | لوردسون</t>
  </si>
  <si>
    <t>Carl F. Bucherer | carl f bucherer | كارل اف بوشرر</t>
  </si>
  <si>
    <t>Carl F Bucherer | Carl F. Bucherer</t>
  </si>
  <si>
    <t>Jacques du Manoir | jacques du manoir | جاك دو مانوير</t>
  </si>
  <si>
    <t>Luminox</t>
  </si>
  <si>
    <t>Luminox | luminox | لومينوكس</t>
  </si>
  <si>
    <t>MVMT | mvmt | ام في ام تي</t>
  </si>
  <si>
    <t>Union Glashuette | union glashutte</t>
  </si>
  <si>
    <t>Wolf | wolf | وولف</t>
  </si>
  <si>
    <t>Andrea Marazzini | andrea marazzini | أندريا مارازيني</t>
  </si>
  <si>
    <t>Aurelie Bidermann</t>
  </si>
  <si>
    <t>Aurelie Bidermann | aurelie bidermann | أوريلي بيدرمان</t>
  </si>
  <si>
    <t>Fili Plaza | fili plaza | فيلي بلازا</t>
  </si>
  <si>
    <t>Gas Bijoux</t>
  </si>
  <si>
    <t>Gas Bijoux | gas bijoux | غاس بيجو</t>
  </si>
  <si>
    <t>Numbering</t>
  </si>
  <si>
    <t>Numbering | numbering | نمبرينج</t>
  </si>
  <si>
    <t>Ori Tao | ori tao | أوري تاو</t>
  </si>
  <si>
    <t>Soyang Paris | soyang paris | سويانج باريس</t>
  </si>
  <si>
    <t>LONGINES RELOVED | Longines (pre-owned) | longines reloved | longines_preloved | لونجين مستعملة</t>
  </si>
  <si>
    <t>Blancpain (pre-owned) | blancpain reloved | بلانبان مستعملة</t>
  </si>
  <si>
    <t>Breguet (pre-owned) | breguet reloved | بريجيه مُستعملة</t>
  </si>
  <si>
    <t>Bremont (pre-owned) | bremont reloved</t>
  </si>
  <si>
    <t>CARL F BUCHERER RELOVED | Carl F. Bucherer (pre-owned) | carl f bucherer reloved | كارل إف بوشرر مستعملة</t>
  </si>
  <si>
    <t>Girard-Perregaux (pre-owned) | girard-perregaux reloved | جيرارد بيريجو مستعملة</t>
  </si>
  <si>
    <t>Glashutte Original (pre-owned) | glashutte reloved | جلاشوتيه أوريجينال مستعملة</t>
  </si>
  <si>
    <t>Jaeger-LeCoultre (pre-owned) | jaeger-le-coultre reloved | جيجر لوكولتر مُستعملة</t>
  </si>
  <si>
    <t>Jaquet Droz (pre-owned) | jaquet droz reloved | جاكيه دروز مستعملة</t>
  </si>
  <si>
    <t>OMEGA RELOVED | Omega (pre-owned) | omega reloved | أوميغا مستعملة</t>
  </si>
  <si>
    <t>Rado (pre-owned) | rado reloved | رادو مستعملة</t>
  </si>
  <si>
    <t>Wyler (pre-owned) | wyler reloved</t>
  </si>
  <si>
    <t>Zenith (pre-owned) | zenith reloved | زينيث مستعملة</t>
  </si>
  <si>
    <t>Tissot + Balmain | تيسو و بالمان</t>
  </si>
  <si>
    <t>Tissot + Rado | rado and tissot</t>
  </si>
  <si>
    <t>Pandora | pandora | باندورا</t>
  </si>
  <si>
    <t>Aptica | aptica</t>
  </si>
  <si>
    <t>Bremont | bremont</t>
  </si>
  <si>
    <t>Ettinger | ettinger</t>
  </si>
  <si>
    <t>Flik Flak | flik flak | فليك فلاك</t>
  </si>
  <si>
    <t>GLASHUTTE ORIGINAL | Glashutte Original | glashutte original | جلاشوتيه أوريجينال</t>
  </si>
  <si>
    <t>IWC | iwc | أي دبليو سي</t>
  </si>
  <si>
    <t>Jaquet Droz | jaquet droz | جاكيه دروز</t>
  </si>
  <si>
    <t>Nine West | nine west | ناين ويست</t>
  </si>
  <si>
    <t>Nova | nova</t>
  </si>
  <si>
    <t>Reebok | reebok | ريبوك</t>
  </si>
  <si>
    <t>Samsung</t>
  </si>
  <si>
    <t>Samsung | samsung</t>
  </si>
  <si>
    <t>Swatch | swatch | سواتش</t>
  </si>
  <si>
    <t>Apr 2026 segmented funnel and revenue</t>
  </si>
  <si>
    <t>2026-04-01 to 2026-04-30. Full month. Viewed, added-to-cart, purchased and revenue values reconcile to the original monthly export.</t>
  </si>
  <si>
    <t>Calvin Klein | calvin klein | كلفن كلاين</t>
  </si>
  <si>
    <t>Anne Klein | anne klein | آن كلاين</t>
  </si>
  <si>
    <t>Tommy Hilfiger | tommy hilfiger | تومي هيلفجر</t>
  </si>
  <si>
    <t>CAT | cat | كات</t>
  </si>
  <si>
    <t>Kenneth Cole | kenneth cole | كينيث كول</t>
  </si>
  <si>
    <t>4 Continental | continental | كونتيننتال</t>
  </si>
  <si>
    <t>Carl F. Bucherer | carl f bucherer</t>
  </si>
  <si>
    <t>Union Glashuette | union glashutte | يونيون جلاشوتيه</t>
  </si>
  <si>
    <t>Hot Diamonds | hot diamonds | هوت دايموندز</t>
  </si>
  <si>
    <t>Mon Reve | mon reve | مون ريف</t>
  </si>
  <si>
    <t>Bangle-Up | bangle up | bangle-up | بانجل-أب</t>
  </si>
  <si>
    <t>Les Nereides</t>
  </si>
  <si>
    <t>Les Nereides | ليه نيريدس</t>
  </si>
  <si>
    <t>Longines (pre-owned) | longines preloved | longines reloved | لونجين مستعملة</t>
  </si>
  <si>
    <t>Carl F. Bucherer (pre-owned) | carl f bucherer reloved | كارل إف بوشرر مستعملة</t>
  </si>
  <si>
    <t>Cartier (pre-owned) | cartier reloved</t>
  </si>
  <si>
    <t>Harry Winston (pre-owned) | harry winston reloved</t>
  </si>
  <si>
    <t>Michel Jordi (pre-owned)</t>
  </si>
  <si>
    <t>Michel Jordi (pre-owned) | michel jordi reloved</t>
  </si>
  <si>
    <t>Omega (pre-owned) | omega reloved | أوميغا مستعملة</t>
  </si>
  <si>
    <t>Rado (pre-owned) | rado reloved</t>
  </si>
  <si>
    <t>Hamilton + Balmain | hamilton and balmain</t>
  </si>
  <si>
    <t>Rado + Rado | rado and rado | رادو آند رادو</t>
  </si>
  <si>
    <t>Tissot + Certina | تيسو و سيرتينا</t>
  </si>
  <si>
    <t>Gift with purchase | free gift with purchase | gwp</t>
  </si>
  <si>
    <t>Blancpain | blancpain | بلانبان</t>
  </si>
  <si>
    <t>Breguet | breguet | بريغيه</t>
  </si>
  <si>
    <t>Ettinger | ettinger | إيتينجر</t>
  </si>
  <si>
    <t>May 2026 segmented funnel and revenue</t>
  </si>
  <si>
    <t>2026-05-01 to 2026-05-31. Full month. Viewed, added-to-cart, purchased and revenue values reconcile to the original monthly export.</t>
  </si>
  <si>
    <t>Tommy Hilfiger | tommy hilfiger | تومي هيلفجر | تومي هيلفيجر</t>
  </si>
  <si>
    <t>Vince Camuto | vince camuto</t>
  </si>
  <si>
    <t>Roamer | roamer</t>
  </si>
  <si>
    <t>Bangle-Up | bangle-up | بانجل-أب</t>
  </si>
  <si>
    <t>Giovanni Raspini</t>
  </si>
  <si>
    <t>Giovanni Raspini | giovanni raspini | جيوفاني راسبيني</t>
  </si>
  <si>
    <t>Les Nereides | les nereides | ليه نيريدس</t>
  </si>
  <si>
    <t>Bremont (pre-owned) | bremont reloved | بريمونت مستعملة</t>
  </si>
  <si>
    <t>Cartier (pre-owned) | cartier reloved | كارتييه مُستعملة</t>
  </si>
  <si>
    <t>Michel Jordi (pre-owned) | michel jordi reloved | مايكل جوردي مستعملة</t>
  </si>
  <si>
    <t>Movado (pre-owned) | موفادو مستعملة</t>
  </si>
  <si>
    <t>Rado + Rado | rado and rado</t>
  </si>
  <si>
    <t>Gift with purchase | free gift with purchase | gwp | هدية مجانية مع طلبك</t>
  </si>
  <si>
    <t>Aptica | aptica | أبتيكا</t>
  </si>
  <si>
    <t>Deakin And Francis</t>
  </si>
  <si>
    <t>Deakin And Francis | deakin and francis</t>
  </si>
  <si>
    <t>Nova | nova | نوفا</t>
  </si>
  <si>
    <t>Jun 2026 segmented funnel and revenue</t>
  </si>
  <si>
    <t>2026-06-01 to 2026-06-30. Full month. Viewed, added-to-cart, purchased and revenue values reconcile to the original monthly export.</t>
  </si>
  <si>
    <t>Tommy Hilfiger | tommy hilfiger | تومي هيلفيجر</t>
  </si>
  <si>
    <t>Tohum</t>
  </si>
  <si>
    <t>Tohum | tohum | توهوم</t>
  </si>
  <si>
    <t>Carl F. Bucherer (pre-owned) | carl f bucherer preloved | carl f bucherer reloved | كارل إف بوشرر مستعملة</t>
  </si>
  <si>
    <t>Movado (pre-owned) | movado reloved | موفادو مستعملة</t>
  </si>
  <si>
    <t>Glashutte Original | glashutte original | جلاشوتيه أوريجينال</t>
  </si>
  <si>
    <t>Versus | فيرسوس</t>
  </si>
  <si>
    <t>Zoop | zoop</t>
  </si>
  <si>
    <t>Jul 2026 segmented funnel and revenue</t>
  </si>
  <si>
    <t>2026-07-01 to 2026-07-31. Full month. Viewed, added-to-cart, purchased and revenue values reconcile to the original monthly export.</t>
  </si>
  <si>
    <t>Carl F. Bucherer (pre-owned) | carl f bucherer reloved</t>
  </si>
  <si>
    <t>Longines (pre-owned) | longines reloved | لونجين مستعملة</t>
  </si>
  <si>
    <t>Tissot + Balmain | tissot and balmain</t>
  </si>
  <si>
    <t>Tissot + Certina | tissot and certina | تيسو و سيرتينا</t>
  </si>
  <si>
    <t>NBA</t>
  </si>
  <si>
    <t>NBA | nba</t>
  </si>
  <si>
    <t>Aug 2026 segmented funnel and revenue</t>
  </si>
  <si>
    <t>2026-08-01 to 2026-08-31. Full month. Viewed, added-to-cart, purchased and revenue values reconcile to the original monthly export.</t>
  </si>
  <si>
    <t>Omega | omega | أوميغا</t>
  </si>
  <si>
    <t>Rado + Rado | رادو آند رادو</t>
  </si>
  <si>
    <t>INXT | inxt | انكست</t>
  </si>
  <si>
    <t>Mimoj Designs</t>
  </si>
  <si>
    <t>Mimoj Designs | mimoj designs</t>
  </si>
  <si>
    <t>Sep 2026 segmented funnel and revenue</t>
  </si>
  <si>
    <t>2026-09-01 to 2026-09-10. Partial month. Viewed, added-to-cart, purchased and revenue values reconcile to the original monthly export.</t>
  </si>
  <si>
    <t>Scuderia Ferrari | scuderia ferrari</t>
  </si>
  <si>
    <t>Vivienne Westwood | vivienne westwood</t>
  </si>
  <si>
    <t>Les Nereides | les nereides | لي نيريدس | ليه نيريدس</t>
  </si>
  <si>
    <t>Zenith | zenith</t>
  </si>
  <si>
    <t>Recalibrated master brand map</t>
  </si>
  <si>
    <t>This is the inclusive tech master. Website-verified Fashion Jewellery brands are included; provenance shows whether each row appeared in the originally supplied master.</t>
  </si>
  <si>
    <t>Source canonical label</t>
  </si>
  <si>
    <t>Languages seen</t>
  </si>
  <si>
    <t>Mapping basis</t>
  </si>
  <si>
    <t>Master status</t>
  </si>
  <si>
    <t>Confidence</t>
  </si>
  <si>
    <t>In original supplied master</t>
  </si>
  <si>
    <t>Evidence</t>
  </si>
  <si>
    <t>Arabic, English</t>
  </si>
  <si>
    <t>Supplied Rivoli master</t>
  </si>
  <si>
    <t>High</t>
  </si>
  <si>
    <t>Yes</t>
  </si>
  <si>
    <t>Rivolishop brand mix 2.xlsx</t>
  </si>
  <si>
    <t>Tommy Hilfiger | tommy hilfiger | tommy_hilfiger | تومي هيلفجر | تومي هيلفيجر</t>
  </si>
  <si>
    <t>CARL F BUCHERER | Carl F Bucherer | Carl F. Bucherer | carl f bucherer | كارل اف بوشرر</t>
  </si>
  <si>
    <t>English</t>
  </si>
  <si>
    <t>Duplicate spelling consolidated</t>
  </si>
  <si>
    <t>Medium</t>
  </si>
  <si>
    <t>No</t>
  </si>
  <si>
    <t>Monthly order data</t>
  </si>
  <si>
    <t>Arabic</t>
  </si>
  <si>
    <t>Direct match in current watches catalogue; internal subsegment proposed</t>
  </si>
  <si>
    <t>https://www.rivolishop.com/en-ae/c/watches</t>
  </si>
  <si>
    <t>Union Glashuette | Union Glashutte | union glashutte | يونيون جلاشوتيه</t>
  </si>
  <si>
    <t>Naming variant of approved master brand</t>
  </si>
  <si>
    <t>Direct match in current jewellery catalogue</t>
  </si>
  <si>
    <t>https://www.rivolishop.com/en-ae/c/jewellery</t>
  </si>
  <si>
    <t>Bangle-Up | bangle up | bangle-up | bangle_up | بانجل-أب</t>
  </si>
  <si>
    <t>Lily Charmed | lily charmed | lily_charmed | ليلي تشارمد</t>
  </si>
  <si>
    <t>Direct current Reloved match</t>
  </si>
  <si>
    <t>https://www.rivolishop.com/en-ae/c/reloved-watches</t>
  </si>
  <si>
    <t>Explicit pre-owned label</t>
  </si>
  <si>
    <t>Bremont (pre-owned) | Bremont Reloved | bremont reloved | بريمونت مستعملة</t>
  </si>
  <si>
    <t>CARL F BUCHERER RELOVED | Carl F. Bucherer (pre-owned) | carl f bucherer preloved | carl f bucherer reloved | carl_f_bucherer_preloved | كارل إف بوشرر مستعملة</t>
  </si>
  <si>
    <t>CARTIER RELOVED | Cartier (pre-owned) | cartier reloved | كارتييه مُستعملة</t>
  </si>
  <si>
    <t>GLASHUTTE RELOVED | Glashutte Original (pre-owned) | glashutte reloved | جلاشوت اورجينال مستعملة | جلاشوتيه أوريجينال مستعملة</t>
  </si>
  <si>
    <t>HARRY WINSTON RELOVED | Harry Winston (pre-owned) | harry winston reloved | هاري وينستون مُستعملة</t>
  </si>
  <si>
    <t>LONGINES RELOVED | Longines (pre-owned) | longines pre-loved | longines preloved | longines reloved | longines_preloved | لونجين مستعملة</t>
  </si>
  <si>
    <t>Movado (pre-owned) | Movado Reloved | movado reloved | موفادو مستعملة</t>
  </si>
  <si>
    <t>Rado (pre-owned) | Rado Reloved | rado pre-loved | rado reloved | رادو مستعملة</t>
  </si>
  <si>
    <t>WYLER RELOVED | Wyler (pre-owned) | wyler reloved</t>
  </si>
  <si>
    <t>Hamilton + Balmain | Hamilton and Balmain | hamilton and balmain</t>
  </si>
  <si>
    <t>Combined brand label</t>
  </si>
  <si>
    <t>Rado + Rado | Rado and Rado | rado and rado | رادو آند رادو</t>
  </si>
  <si>
    <t>Tissot + Balmain | Tissot and Balmain | tissot and balmain | تيسو و بالمان</t>
  </si>
  <si>
    <t>Rado and Tissot | Tissot + Rado | Tissot and Rado | rado and tissot | tissot and rado</t>
  </si>
  <si>
    <t>Source value is a channel, promotion or missing brand</t>
  </si>
  <si>
    <t>Return-only record with no current website match</t>
  </si>
  <si>
    <t>Monthly order data + website cross-check</t>
  </si>
  <si>
    <t>No current website match and no financial movement</t>
  </si>
  <si>
    <t>Low</t>
  </si>
  <si>
    <t>FLIK FLAK | Flik Flak | flik flak | فليك فلاك</t>
  </si>
  <si>
    <t>SWATCH | Swatch | swatch | سواتش</t>
  </si>
  <si>
    <t>Google Ads campaign-to-brand map</t>
  </si>
  <si>
    <t>All 145 campaign rows include canonical brand and known aliases for implementation. Generic Rivoli Shop and explicit multi-brand campaigns remain separately identified.</t>
  </si>
  <si>
    <t>Campaign</t>
  </si>
  <si>
    <t>Source assigned brand</t>
  </si>
  <si>
    <t>Canonical brand(s) for tech</t>
  </si>
  <si>
    <t>Brand scope</t>
  </si>
  <si>
    <t>Final segment(s)</t>
  </si>
  <si>
    <t>Mapping confidence</t>
  </si>
  <si>
    <t>Validation</t>
  </si>
  <si>
    <t>Campaign type</t>
  </si>
  <si>
    <t>Cost (AED)</t>
  </si>
  <si>
    <t>Impressions</t>
  </si>
  <si>
    <t>Interactions</t>
  </si>
  <si>
    <t>Conversions</t>
  </si>
  <si>
    <t>Jan</t>
  </si>
  <si>
    <t>TTN_PMAX_AIGNER_29thJAN'26-28thFEB'26_SWISS_EXTRA_UAE</t>
  </si>
  <si>
    <t>Single brand</t>
  </si>
  <si>
    <t>Validated</t>
  </si>
  <si>
    <t>Performance Max</t>
  </si>
  <si>
    <t>TTN_PMAX_CK_FASHION_NEWNESS_JAN'26_8THJAN-31STJAN'26_FASHION_EXTRA_UAE</t>
  </si>
  <si>
    <t>TTN_GOOGLESEARCH_HAMILTON_COD_13thNOV'25-30thNOV'25_EXTRA_UAE_REACTIVE(2ndJAN-31stJAN)</t>
  </si>
  <si>
    <t>Search</t>
  </si>
  <si>
    <t>TTN_PMAX_HAMILTON_COD_14thNOV'25-30thNOV'25_SWISS_EXTRA_UAE_REACTIVE(2ndJAN-31stJAN)</t>
  </si>
  <si>
    <t>TTN_GOOGLESEARCH_HAMILTON_COD_2ndJAN-31stJAN'25_EXTRA_OMAR</t>
  </si>
  <si>
    <t>TTN_PMAX_LONGINES_MASTER_OF_THE_YEAR_JAN'26-FEB'26_15thJAN-20thFEB'26_EXTRA_SWISS_UAE_18thFEB'26</t>
  </si>
  <si>
    <t>TTN_AWARENESS_LONGINES_MASTER_OF_THE_YEAR_JAN'26-FEB'26_15thJAN-20thFEB'26_EXTRA_SWISS_UAE</t>
  </si>
  <si>
    <t>Video</t>
  </si>
  <si>
    <t>TTN_GOOGLESEARCH_LONGINES_MASTER_OF_THE_YEAR_JAN'26-FEB'26_15thJAN'26-20thFEB'26_EXTRA_SWISS_UAE_19thFEB'26</t>
  </si>
  <si>
    <t>TTN_PMAX_TVEDITION_MIDO_JAN'26_5thJAN-31stJAN'26_SWISS_EXTRA_UAE</t>
  </si>
  <si>
    <t>TTN_PMAX_OMEGA_PLANET_OCEAN_11thDEC'25-4thJAN'26_SWISS_EXTRA_UAE_ADD35k_11thJAN'26</t>
  </si>
  <si>
    <t>TTN_PMAX_OMEGA_MILANO_JAN-FEB'26_22ndJAN'26-9thFEB'26_SWISS_EXTRA_UAE+EXT_AED148k_28thFEB'28</t>
  </si>
  <si>
    <t>TTN_PMAX_RADO_CAPTAINCOOK_CENTRIX_JAN'26_14thJAN-29thJAN'26_SWISS_EXTRA_UAE_EXTENSION_AED10k_30thJAN-2ndFEB</t>
  </si>
  <si>
    <t>TTN_GOOGLESEARCH_RADO_CAPTAINCOOL_CENTRIX_JAN'26_14thJAN-29thJAN'26_EXTRA_UAE</t>
  </si>
  <si>
    <t>TTN_GOOGLESEARCH_RADO_CAPTAINCOOL_CENTRIX_JAN'26_14thJAN-29thJAN'26_EXTRA_OMAR</t>
  </si>
  <si>
    <t>TTN_RS_PMAX_UAEREGION_WATCHES_SWISS-_NON</t>
  </si>
  <si>
    <t>RivoliShop</t>
  </si>
  <si>
    <t>Rivoli Shop | RivoliShop | RS</t>
  </si>
  <si>
    <t>Generic / retail</t>
  </si>
  <si>
    <t>Corporate / multi-category</t>
  </si>
  <si>
    <t>Generic campaign</t>
  </si>
  <si>
    <t>TTN_RS_PMAX_DEC'25_UAEREGION_WATCHES_SWISS_2023-2024_NOV'24_SWISSCORECOLLECTION_UAE</t>
  </si>
  <si>
    <t>TTN_GOOGLESEARCH_1st07thDEC'23_BRAND_CPC_WATCHES_FASHION_TAB_UAE_APRIL'26</t>
  </si>
  <si>
    <t>TTN_RS_GOOGLESEARCH_DEC'25_BAGBIGSAVINGS_CPC_WATCHES_SWISS_NOV'24_SWISS_CORECOLLECTION_4thNOV-3rdDEC'24_UAE</t>
  </si>
  <si>
    <t>TTN_RS_GOOGLESEARCH_SWISS_WATCHES_PA_UAE_FACTORYSPECIAL_SWISSNONCORE</t>
  </si>
  <si>
    <t>TTN_2026_WATCHES_PMAX_FASHION_2026</t>
  </si>
  <si>
    <t>TTN_RS_PMAX_SWISSCORE_DEC'25_QATAR</t>
  </si>
  <si>
    <t>TTN_RS_GOOGLESEARCH_SWISSCORE_DEC'25_QATAR</t>
  </si>
  <si>
    <t>TTN_GOOGLESEARCH_TISSOT_BALLADE_JAN'26-FEB'26_7THJAN'26-28THFEB'26_SWISS_EXTRA_UAE_7thDEC'25_UAE</t>
  </si>
  <si>
    <t>TTN_PMAX_TISSOT_BALLADE_JAN'26-FEB'26_7thJAN-28thFEB'26_SWISS_EXTRA_7thDEC'25_UAE</t>
  </si>
  <si>
    <t>TTN_AWARENESS_TISSOT_BALLADE_VIDEOVIEW_JAN'26-FEB'26_7thJAN-28thFEB_UAE_EXTRA_CAMPAIGN_SWISS_UAE</t>
  </si>
  <si>
    <t>TTN_GOOGLESEARCH_TISSOT_BALLADE_JAN'26-FEB'26_7THJAN'26-28THFEB'26_SWISS_EXTRA_UAE_7thDEC'25_OMAR</t>
  </si>
  <si>
    <t>TTN_AWARENESS_TISSOT_BALLADE_VIDEOVIEW_JAN'26-FEB'26_7thJAN-28thFEB_EXTRA_CAMPAIGN_SWISS_OMAR</t>
  </si>
  <si>
    <t>Feb</t>
  </si>
  <si>
    <t>TTN_PMAX_CK_MGI_FEB'26-MARCH'26_19thFEB-31stMARCH'26_FASHION_EXTRA_UAE</t>
  </si>
  <si>
    <t>TTN_PMAX_COACH_FASHIONDRIVE_V2_SEP'26_9THSEPth-9thOCT'26_MGI_FEB'26-MARCH'26_20thFEB-31stMARCH'26_FASHION_EXTRA_UAE</t>
  </si>
  <si>
    <t>TTN_HC_AWARENESS_VIDEOVIEW_PHASE1_REACH_FEB'26_16THFEB-28THFEB'26_EXTRA_UAE</t>
  </si>
  <si>
    <t>TTN_HC_AWARENESS_VIDEOVIEW_PHASE1_REACH_FEB'26_16THFEB-28THFEB'26_EXTRA_QATAR</t>
  </si>
  <si>
    <t>TTN_HC_AWARENESS_VIDEOVIEW_PHASE1_REACH_FEB'26_16THFEB-28THFEB'26_EXTRA_OMAN</t>
  </si>
  <si>
    <t>TTN_HC_AWARENESS_VIDEOVIEW_PHASE1_REACH_FEB'26_16THFEB-28THFEB'26_EXTRA_BAHRAIN</t>
  </si>
  <si>
    <t>TTN_PMAX_TISSOT_SRV_NOV-DEC'25_3rdNOV-9thDEC'25_SWISS_EXTRA_UAE_ADD20k_6thfeb-14thFEB</t>
  </si>
  <si>
    <t>TTN_PMAX_TOMMY_FASHIONDRIVE_SEP'26-OCT'26_9thSEP-10thOCT'26BRUCE_MGI_FEB'26-MARCH'26_20thFEB-31stMARCH'26_FASHION_EXTRA_UAE</t>
  </si>
  <si>
    <t>Mar</t>
  </si>
  <si>
    <t>TTN_RS_GOOGLESEARCH_DEC'24_BRAND_CPC_WATCHES_SWISS_NOWORNEVER_OMAR_QATAR_NON</t>
  </si>
  <si>
    <t>TTN_RS_PMAX_2024_OMAR_REGION_SWISS_OMAN_NON</t>
  </si>
  <si>
    <t>TTN_RS_PMAX_2024_OMAR_REGION_SWISS_NON_BAHRAIN</t>
  </si>
  <si>
    <t>Apr</t>
  </si>
  <si>
    <t>May</t>
  </si>
  <si>
    <t>TTN_AWARENESS_YT_VIDEOVIEW_RADO_OMAN_25thMAY-30thJUNE'26_EXTRA</t>
  </si>
  <si>
    <t>TTN_GOOGLESEARCH_RADO_OMAN_25thMAY-30thJUNE'26_EXTRA_OMAN</t>
  </si>
  <si>
    <t>TTN_AWARENESS_YT_VIDEOVIEW_SUPERSAVER_EIDPROMOTIONS_22nd-31stMAY'26_EXTRA</t>
  </si>
  <si>
    <t>Jun</t>
  </si>
  <si>
    <t>TTN_SWISS_CORE_JUNE'26_9THJUNE_BESTSELLER_RADO+TISSOT+LONGINES</t>
  </si>
  <si>
    <t>Multi-brand</t>
  </si>
  <si>
    <t>Rado + Tissot + Longines</t>
  </si>
  <si>
    <t>Rado: Rado | rado | رادو ; Tissot: Tissot | tissot | تيسو ; Longines: Longines | longines | لونجين</t>
  </si>
  <si>
    <t>Shopping</t>
  </si>
  <si>
    <t>TTN_AWARENESS_UAE_YT_VIDEOVIEW_SUMMER-REWARDS_RETAIL_JUNE'26_12thJUNE-30thJUNE'26/15thJULY'26_EXTRA_PHASE2_JULY'26_16thJULY-31stJULY;26</t>
  </si>
  <si>
    <t>TTN_AWARENESS_BAHRAIN_YT_VIDEOVIEW_SUMMER-REWARDS_RETAIL_JUNE'26_12thJUNE-30thJUNE'26_EXTRA</t>
  </si>
  <si>
    <t>TTN_AWARENESS_OMAN_YT_VIDEOVIEW_SUMMER-REWARDS_RETAIL_PHASE2_16thJULY'26-31stJULY'26JUNE'26_12thJUNE-30thJUNE'26_EXTRA</t>
  </si>
  <si>
    <t>TTN_AWARENESS_QATAR_YT_VIDEOVIEW_SUMMER-REWARDS_RETAIL_JUNE'26_12thJUNE-30thJUNE'26_EXTRA</t>
  </si>
  <si>
    <t>TTN_PMAX_SUMMER-REWARDS_UAE_25thJUNE-15thJULY'26-EXTRA</t>
  </si>
  <si>
    <t>Jul</t>
  </si>
  <si>
    <t>TTN_PMAX_HOE_CONTINENTAL_JULY'26_20thJULY'2-31stJULY'26_EXTRA_AUG'26_SEP'26</t>
  </si>
  <si>
    <t>Continental</t>
  </si>
  <si>
    <t>TTN_YT_HOE_CONTINENTAL_JULY'26_20thJULY'2-31stJULY'26_EXTRA</t>
  </si>
  <si>
    <t>TTN_PMAX_HOE_EVERSWISS_JULY'26_20thJULY'2-31stJULY'26_EXTRA_AUG'26_SEP'26</t>
  </si>
  <si>
    <t>EverSwiss</t>
  </si>
  <si>
    <t>TTN_YT_HOE_EVERSWISS_JULY'26_20thJULY'2-31stJULY'26_EXTRA</t>
  </si>
  <si>
    <t>TTN_PMAX_LONGINES_SUMMER_8thJULY'26-31stAUG'26_SEP'26_SWISS_UAE_EXTRA</t>
  </si>
  <si>
    <t>TTN_YT_LONGINES_SUMMER_8thJULY'26-31stAUG'26_SWISS_UAE_EXTRA</t>
  </si>
  <si>
    <t>TTN_PMAX_OMEGA_SPEEDMASTER_JULY'26-SEP26_SWISS_EXTRA</t>
  </si>
  <si>
    <t>TTN_YT_OMEGA_SPEEDMASTER_JULY'26-AUG'26_SWISS_EXTRA</t>
  </si>
  <si>
    <t>TTN_GOOGLESEARCH_RADO_DIASTAR_JULY'26-SEP'26_15thJULY'26_EXTRA_SWISS</t>
  </si>
  <si>
    <t>TTN_PMAX_RADO_DIASTAR_2026_JULY'26-SEP'26_15thJULY'26-SEP'26_18thJULY'25-31stJULY'25_SWISS_EXTRA_UAE_17thAUG'25_NEW BUDGET30k(23rdSep-21stOCT)</t>
  </si>
  <si>
    <t>TTN_GOOGLESEARCH_TISSOT_SEASTAR_JULY'26-SEP'26_13thJULY'26SWISS_EXTRA_UAE</t>
  </si>
  <si>
    <t>TTN_PMAX_TISSOT_SEASTAR_JULY'26-SEP'26_13thJULY'26_V2_UAEDEC'25_8thDEC-31stDEC'25_SWISS_EXTRA_UAE</t>
  </si>
  <si>
    <t>Aug</t>
  </si>
  <si>
    <t>TTN_PMAX_HOE_CRUISER_AUG'26_EXTRA_AUG'26_SEP'26</t>
  </si>
  <si>
    <t>TTN_SWISS_CORE_OMEGA_AUG'26_7thAUG-31stAUG_BESTSELLER_EXTRA</t>
  </si>
  <si>
    <t>TTN_SWISS_CORE_TISSOT_TED_AUG'26_AUG_BESTSELLER_EXTRA</t>
  </si>
  <si>
    <t>TTN_SWISS_CORE_TISSOT_TED_AUG'26_7thAUG-31stAUG_BESTSELLER_EXTRA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</si>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</sst>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-#,##0.00"/>
    <numFmt numFmtId="165" formatCode="0.0%"/>
    <numFmt numFmtId="166" formatCode="#,##0.0"/>
  </numFmts>
  <fonts count="5">
    <font>
      <sz val="11"/>
      <name val="Carlito"/>
    </font>
    <font>
      <b/>
      <sz val="15"/>
      <color rgb="FF111827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374151"/>
      </patternFill>
    </fill>
  </fills>
  <borders count="9">
    <border>
      <left/>
      <right/>
      <top/>
      <bottom/>
      <diagonal/>
    </border>
    <border>
      <left/>
      <right/>
      <top/>
      <bottom style="thin">
        <color rgb="FF11182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374151"/>
      </left>
      <right/>
      <top style="thin">
        <color rgb="FF374151"/>
      </top>
      <bottom style="thin">
        <color rgb="FF374151"/>
      </bottom>
      <diagonal/>
    </border>
    <border>
      <left/>
      <right/>
      <top style="thin">
        <color rgb="FF374151"/>
      </top>
      <bottom style="thin">
        <color rgb="FF374151"/>
      </bottom>
      <diagonal/>
    </border>
    <border>
      <left/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5" xfId="0" applyNumberFormat="1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5" xfId="0" applyNumberFormat="1" applyFont="1" applyBorder="1" applyAlignment="1">
      <alignment vertical="center"/>
    </xf>
    <xf numFmtId="3" fontId="3" fillId="3" borderId="7" xfId="0" applyNumberFormat="1" applyFont="1" applyFill="1" applyBorder="1"/>
    <xf numFmtId="164" fontId="3" fillId="3" borderId="8" xfId="0" applyNumberFormat="1" applyFont="1" applyFill="1" applyBorder="1"/>
    <xf numFmtId="4" fontId="4" fillId="0" borderId="0" xfId="0" applyNumberFormat="1" applyFont="1" applyAlignment="1">
      <alignment vertical="center"/>
    </xf>
    <xf numFmtId="4" fontId="4" fillId="0" borderId="5" xfId="0" applyNumberFormat="1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5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166" fontId="4" fillId="0" borderId="5" xfId="0" applyNumberFormat="1" applyFont="1" applyBorder="1" applyAlignment="1">
      <alignment vertical="center"/>
    </xf>
    <xf numFmtId="0" fontId="3" fillId="3" borderId="6" xfId="0" applyFont="1" applyFill="1" applyBorder="1"/>
    <xf numFmtId="0" fontId="3" fillId="3" borderId="7" xfId="0" applyFont="1" applyFill="1" applyBorder="1"/>
  </cellXfs>
  <cellStyles count="1">
    <cellStyle name="Normal" xfId="0" builtinId="0"/>
  </cellStyles>
  <dxfs count="3"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ReconciliationTable" displayName="ReconciliationTable" ref="A5:O14" totalsRowShown="0">
  <autoFilter ref="A5:O14" xr:uid="{00000000-0009-0000-0100-00000A000000}"/>
  <tableColumns count="15">
    <tableColumn id="1" xr3:uid="{00000000-0010-0000-0000-000001000000}" name="Month"/>
    <tableColumn id="2" xr3:uid="{00000000-0010-0000-0000-000002000000}" name="Period status"/>
    <tableColumn id="3" xr3:uid="{00000000-0010-0000-0000-000003000000}" name="Source items viewed"/>
    <tableColumn id="4" xr3:uid="{00000000-0010-0000-0000-000004000000}" name="Segmented items viewed"/>
    <tableColumn id="5" xr3:uid="{00000000-0010-0000-0000-000005000000}" name="Viewed variance"/>
    <tableColumn id="6" xr3:uid="{00000000-0010-0000-0000-000006000000}" name="Source items added to cart"/>
    <tableColumn id="7" xr3:uid="{00000000-0010-0000-0000-000007000000}" name="Segmented items added to cart"/>
    <tableColumn id="8" xr3:uid="{00000000-0010-0000-0000-000008000000}" name="Cart variance"/>
    <tableColumn id="9" xr3:uid="{00000000-0010-0000-0000-000009000000}" name="Source items purchased"/>
    <tableColumn id="10" xr3:uid="{00000000-0010-0000-0000-00000A000000}" name="Segmented items purchased"/>
    <tableColumn id="11" xr3:uid="{00000000-0010-0000-0000-00000B000000}" name="Purchase variance"/>
    <tableColumn id="12" xr3:uid="{00000000-0010-0000-0000-00000C000000}" name="Source revenue (AED)"/>
    <tableColumn id="13" xr3:uid="{00000000-0010-0000-0000-00000D000000}" name="Segmented revenue (AED)"/>
    <tableColumn id="14" xr3:uid="{00000000-0010-0000-0000-00000E000000}" name="Revenue variance"/>
    <tableColumn id="15" xr3:uid="{00000000-0010-0000-0000-00000F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SegmentSummaryTable" displayName="SegmentSummaryTable" ref="A18:F30" totalsRowShown="0">
  <autoFilter ref="A18:F30" xr:uid="{00000000-0009-0000-0100-00000B000000}"/>
  <tableColumns count="6">
    <tableColumn id="1" xr3:uid="{00000000-0010-0000-0100-000001000000}" name="Final segment"/>
    <tableColumn id="2" xr3:uid="{00000000-0010-0000-0100-000002000000}" name="Items viewed"/>
    <tableColumn id="3" xr3:uid="{00000000-0010-0000-0100-000003000000}" name="Items added to cart"/>
    <tableColumn id="4" xr3:uid="{00000000-0010-0000-0100-000004000000}" name="Items purchased"/>
    <tableColumn id="5" xr3:uid="{00000000-0010-0000-0100-000005000000}" name="Item revenue (AED)"/>
    <tableColumn id="6" xr3:uid="{00000000-0010-0000-0100-000006000000}" name="Share of 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Month_Jan_Table" displayName="Month_Jan_Table" ref="A5:I118" totalsRowShown="0">
  <autoFilter ref="A5:I118" xr:uid="{00000000-0009-0000-0100-000001000000}"/>
  <tableColumns count="9">
    <tableColumn id="1" xr3:uid="{00000000-0010-0000-0200-000001000000}" name="Final segment"/>
    <tableColumn id="2" xr3:uid="{00000000-0010-0000-0200-000002000000}" name="Final canonical brand"/>
    <tableColumn id="3" xr3:uid="{00000000-0010-0000-0200-000003000000}" name="Known aliases"/>
    <tableColumn id="4" xr3:uid="{00000000-0010-0000-0200-000004000000}" name="Mapping status"/>
    <tableColumn id="5" xr3:uid="{00000000-0010-0000-0200-000005000000}" name="Items viewed"/>
    <tableColumn id="6" xr3:uid="{00000000-0010-0000-0200-000006000000}" name="Items added to cart"/>
    <tableColumn id="7" xr3:uid="{00000000-0010-0000-0200-000007000000}" name="Items purchased"/>
    <tableColumn id="8" xr3:uid="{00000000-0010-0000-0200-000008000000}" name="Item revenue (AED)"/>
    <tableColumn id="9" xr3:uid="{00000000-0010-0000-0200-000009000000}" name="Source canonical label(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Month_Feb_Table" displayName="Month_Feb_Table" ref="A5:I151" totalsRowShown="0">
  <autoFilter ref="A5:I151" xr:uid="{00000000-0009-0000-0100-000002000000}"/>
  <tableColumns count="9">
    <tableColumn id="1" xr3:uid="{00000000-0010-0000-0300-000001000000}" name="Final segment"/>
    <tableColumn id="2" xr3:uid="{00000000-0010-0000-0300-000002000000}" name="Final canonical brand"/>
    <tableColumn id="3" xr3:uid="{00000000-0010-0000-0300-000003000000}" name="Known aliases"/>
    <tableColumn id="4" xr3:uid="{00000000-0010-0000-0300-000004000000}" name="Mapping status"/>
    <tableColumn id="5" xr3:uid="{00000000-0010-0000-0300-000005000000}" name="Items viewed"/>
    <tableColumn id="6" xr3:uid="{00000000-0010-0000-0300-000006000000}" name="Items added to cart"/>
    <tableColumn id="7" xr3:uid="{00000000-0010-0000-0300-000007000000}" name="Items purchased"/>
    <tableColumn id="8" xr3:uid="{00000000-0010-0000-0300-000008000000}" name="Item revenue (AED)"/>
    <tableColumn id="9" xr3:uid="{00000000-0010-0000-0300-000009000000}" name="Source canonical label(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Month_Mar_Table" displayName="Month_Mar_Table" ref="A5:I121" totalsRowShown="0">
  <autoFilter ref="A5:I121" xr:uid="{00000000-0009-0000-0100-000003000000}"/>
  <tableColumns count="9">
    <tableColumn id="1" xr3:uid="{00000000-0010-0000-0400-000001000000}" name="Final segment"/>
    <tableColumn id="2" xr3:uid="{00000000-0010-0000-0400-000002000000}" name="Final canonical brand"/>
    <tableColumn id="3" xr3:uid="{00000000-0010-0000-0400-000003000000}" name="Known aliases"/>
    <tableColumn id="4" xr3:uid="{00000000-0010-0000-0400-000004000000}" name="Mapping status"/>
    <tableColumn id="5" xr3:uid="{00000000-0010-0000-0400-000005000000}" name="Items viewed"/>
    <tableColumn id="6" xr3:uid="{00000000-0010-0000-0400-000006000000}" name="Items added to cart"/>
    <tableColumn id="7" xr3:uid="{00000000-0010-0000-0400-000007000000}" name="Items purchased"/>
    <tableColumn id="8" xr3:uid="{00000000-0010-0000-0400-000008000000}" name="Item revenue (AED)"/>
    <tableColumn id="9" xr3:uid="{00000000-0010-0000-0400-000009000000}" name="Source canonical label(s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Month_Apr_Table" displayName="Month_Apr_Table" ref="A5:I125" totalsRowShown="0">
  <autoFilter ref="A5:I125" xr:uid="{00000000-0009-0000-0100-000004000000}"/>
  <tableColumns count="9">
    <tableColumn id="1" xr3:uid="{00000000-0010-0000-0500-000001000000}" name="Final segment"/>
    <tableColumn id="2" xr3:uid="{00000000-0010-0000-0500-000002000000}" name="Final canonical brand"/>
    <tableColumn id="3" xr3:uid="{00000000-0010-0000-0500-000003000000}" name="Known aliases"/>
    <tableColumn id="4" xr3:uid="{00000000-0010-0000-0500-000004000000}" name="Mapping status"/>
    <tableColumn id="5" xr3:uid="{00000000-0010-0000-0500-000005000000}" name="Items viewed"/>
    <tableColumn id="6" xr3:uid="{00000000-0010-0000-0500-000006000000}" name="Items added to cart"/>
    <tableColumn id="7" xr3:uid="{00000000-0010-0000-0500-000007000000}" name="Items purchased"/>
    <tableColumn id="8" xr3:uid="{00000000-0010-0000-0500-000008000000}" name="Item revenue (AED)"/>
    <tableColumn id="9" xr3:uid="{00000000-0010-0000-0500-000009000000}" name="Source canonical label(s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Month_May_Table" displayName="Month_May_Table" ref="A5:I126" totalsRowShown="0">
  <autoFilter ref="A5:I126" xr:uid="{00000000-0009-0000-0100-000005000000}"/>
  <tableColumns count="9">
    <tableColumn id="1" xr3:uid="{00000000-0010-0000-0600-000001000000}" name="Final segment"/>
    <tableColumn id="2" xr3:uid="{00000000-0010-0000-0600-000002000000}" name="Final canonical brand"/>
    <tableColumn id="3" xr3:uid="{00000000-0010-0000-0600-000003000000}" name="Known aliases"/>
    <tableColumn id="4" xr3:uid="{00000000-0010-0000-0600-000004000000}" name="Mapping status"/>
    <tableColumn id="5" xr3:uid="{00000000-0010-0000-0600-000005000000}" name="Items viewed"/>
    <tableColumn id="6" xr3:uid="{00000000-0010-0000-0600-000006000000}" name="Items added to cart"/>
    <tableColumn id="7" xr3:uid="{00000000-0010-0000-0600-000007000000}" name="Items purchased"/>
    <tableColumn id="8" xr3:uid="{00000000-0010-0000-0600-000008000000}" name="Item revenue (AED)"/>
    <tableColumn id="9" xr3:uid="{00000000-0010-0000-0600-000009000000}" name="Source canonical label(s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Month_Jun_Table" displayName="Month_Jun_Table" ref="A5:I128" totalsRowShown="0">
  <autoFilter ref="A5:I128" xr:uid="{00000000-0009-0000-0100-000006000000}"/>
  <tableColumns count="9">
    <tableColumn id="1" xr3:uid="{00000000-0010-0000-0700-000001000000}" name="Final segment"/>
    <tableColumn id="2" xr3:uid="{00000000-0010-0000-0700-000002000000}" name="Final canonical brand"/>
    <tableColumn id="3" xr3:uid="{00000000-0010-0000-0700-000003000000}" name="Known aliases"/>
    <tableColumn id="4" xr3:uid="{00000000-0010-0000-0700-000004000000}" name="Mapping status"/>
    <tableColumn id="5" xr3:uid="{00000000-0010-0000-0700-000005000000}" name="Items viewed"/>
    <tableColumn id="6" xr3:uid="{00000000-0010-0000-0700-000006000000}" name="Items added to cart"/>
    <tableColumn id="7" xr3:uid="{00000000-0010-0000-0700-000007000000}" name="Items purchased"/>
    <tableColumn id="8" xr3:uid="{00000000-0010-0000-0700-000008000000}" name="Item revenue (AED)"/>
    <tableColumn id="9" xr3:uid="{00000000-0010-0000-0700-000009000000}" name="Source canonical label(s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Month_Jul_Table" displayName="Month_Jul_Table" ref="A5:I129" totalsRowShown="0">
  <autoFilter ref="A5:I129" xr:uid="{00000000-0009-0000-0100-000007000000}"/>
  <tableColumns count="9">
    <tableColumn id="1" xr3:uid="{00000000-0010-0000-0800-000001000000}" name="Final segment"/>
    <tableColumn id="2" xr3:uid="{00000000-0010-0000-0800-000002000000}" name="Final canonical brand"/>
    <tableColumn id="3" xr3:uid="{00000000-0010-0000-0800-000003000000}" name="Known aliases"/>
    <tableColumn id="4" xr3:uid="{00000000-0010-0000-0800-000004000000}" name="Mapping status"/>
    <tableColumn id="5" xr3:uid="{00000000-0010-0000-0800-000005000000}" name="Items viewed"/>
    <tableColumn id="6" xr3:uid="{00000000-0010-0000-0800-000006000000}" name="Items added to cart"/>
    <tableColumn id="7" xr3:uid="{00000000-0010-0000-0800-000007000000}" name="Items purchased"/>
    <tableColumn id="8" xr3:uid="{00000000-0010-0000-0800-000008000000}" name="Item revenue (AED)"/>
    <tableColumn id="9" xr3:uid="{00000000-0010-0000-0800-000009000000}" name="Source canonical label(s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Month_Aug_Table" displayName="Month_Aug_Table" ref="A5:I128" totalsRowShown="0">
  <autoFilter ref="A5:I128" xr:uid="{00000000-0009-0000-0100-000008000000}"/>
  <tableColumns count="9">
    <tableColumn id="1" xr3:uid="{00000000-0010-0000-0900-000001000000}" name="Final segment"/>
    <tableColumn id="2" xr3:uid="{00000000-0010-0000-0900-000002000000}" name="Final canonical brand"/>
    <tableColumn id="3" xr3:uid="{00000000-0010-0000-0900-000003000000}" name="Known aliases"/>
    <tableColumn id="4" xr3:uid="{00000000-0010-0000-0900-000004000000}" name="Mapping status"/>
    <tableColumn id="5" xr3:uid="{00000000-0010-0000-0900-000005000000}" name="Items viewed"/>
    <tableColumn id="6" xr3:uid="{00000000-0010-0000-0900-000006000000}" name="Items added to cart"/>
    <tableColumn id="7" xr3:uid="{00000000-0010-0000-0900-000007000000}" name="Items purchased"/>
    <tableColumn id="8" xr3:uid="{00000000-0010-0000-0900-000008000000}" name="Item revenue (AED)"/>
    <tableColumn id="9" xr3:uid="{00000000-0010-0000-0900-000009000000}" name="Source canonical label(s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A000000}" name="Month_Sep_Table" displayName="Month_Sep_Table" ref="A5:I121" totalsRowShown="0">
  <autoFilter ref="A5:I121" xr:uid="{00000000-0009-0000-0100-000009000000}"/>
  <tableColumns count="9">
    <tableColumn id="1" xr3:uid="{00000000-0010-0000-0A00-000001000000}" name="Final segment"/>
    <tableColumn id="2" xr3:uid="{00000000-0010-0000-0A00-000002000000}" name="Final canonical brand"/>
    <tableColumn id="3" xr3:uid="{00000000-0010-0000-0A00-000003000000}" name="Known aliases"/>
    <tableColumn id="4" xr3:uid="{00000000-0010-0000-0A00-000004000000}" name="Mapping status"/>
    <tableColumn id="5" xr3:uid="{00000000-0010-0000-0A00-000005000000}" name="Items viewed"/>
    <tableColumn id="6" xr3:uid="{00000000-0010-0000-0A00-000006000000}" name="Items added to cart"/>
    <tableColumn id="7" xr3:uid="{00000000-0010-0000-0A00-000007000000}" name="Items purchased"/>
    <tableColumn id="8" xr3:uid="{00000000-0010-0000-0A00-000008000000}" name="Item revenue (AED)"/>
    <tableColumn id="9" xr3:uid="{00000000-0010-0000-0A00-000009000000}" name="Source canonical label(s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MasterBrandMapTable" displayName="MasterBrandMapTable" ref="A5:N170" totalsRowShown="0">
  <autoFilter ref="A5:N170" xr:uid="{00000000-0009-0000-0100-00000C000000}"/>
  <tableColumns count="14">
    <tableColumn id="1" xr3:uid="{00000000-0010-0000-0B00-000001000000}" name="Source canonical label"/>
    <tableColumn id="2" xr3:uid="{00000000-0010-0000-0B00-000002000000}" name="Final canonical brand"/>
    <tableColumn id="3" xr3:uid="{00000000-0010-0000-0B00-000003000000}" name="Known aliases"/>
    <tableColumn id="4" xr3:uid="{00000000-0010-0000-0B00-000004000000}" name="Languages seen"/>
    <tableColumn id="5" xr3:uid="{00000000-0010-0000-0B00-000005000000}" name="Final segment"/>
    <tableColumn id="6" xr3:uid="{00000000-0010-0000-0B00-000006000000}" name="Mapping basis"/>
    <tableColumn id="7" xr3:uid="{00000000-0010-0000-0B00-000007000000}" name="Master status"/>
    <tableColumn id="8" xr3:uid="{00000000-0010-0000-0B00-000008000000}" name="Confidence"/>
    <tableColumn id="9" xr3:uid="{00000000-0010-0000-0B00-000009000000}" name="In original supplied master"/>
    <tableColumn id="10" xr3:uid="{00000000-0010-0000-0B00-00000A000000}" name="Items viewed"/>
    <tableColumn id="11" xr3:uid="{00000000-0010-0000-0B00-00000B000000}" name="Items added to cart"/>
    <tableColumn id="12" xr3:uid="{00000000-0010-0000-0B00-00000C000000}" name="Items purchased"/>
    <tableColumn id="13" xr3:uid="{00000000-0010-0000-0B00-00000D000000}" name="Item revenue (AED)"/>
    <tableColumn id="14" xr3:uid="{00000000-0010-0000-0B00-00000E000000}" name="Eviden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mpaignBrandMapTable" displayName="CampaignBrandMapTable" ref="A5:N150" totalsRowShown="0">
  <autoFilter ref="A5:N150" xr:uid="{00000000-0009-0000-0100-00000D000000}"/>
  <tableColumns count="14">
    <tableColumn id="1" xr3:uid="{00000000-0010-0000-0C00-000001000000}" name="Month"/>
    <tableColumn id="2" xr3:uid="{00000000-0010-0000-0C00-000002000000}" name="Campaign"/>
    <tableColumn id="3" xr3:uid="{00000000-0010-0000-0C00-000003000000}" name="Source assigned brand"/>
    <tableColumn id="4" xr3:uid="{00000000-0010-0000-0C00-000004000000}" name="Canonical brand(s) for tech"/>
    <tableColumn id="5" xr3:uid="{00000000-0010-0000-0C00-000005000000}" name="Known aliases"/>
    <tableColumn id="6" xr3:uid="{00000000-0010-0000-0C00-000006000000}" name="Brand scope"/>
    <tableColumn id="7" xr3:uid="{00000000-0010-0000-0C00-000007000000}" name="Final segment(s)"/>
    <tableColumn id="8" xr3:uid="{00000000-0010-0000-0C00-000008000000}" name="Mapping confidence"/>
    <tableColumn id="9" xr3:uid="{00000000-0010-0000-0C00-000009000000}" name="Validation"/>
    <tableColumn id="10" xr3:uid="{00000000-0010-0000-0C00-00000A000000}" name="Campaign type"/>
    <tableColumn id="11" xr3:uid="{00000000-0010-0000-0C00-00000B000000}" name="Cost (AED)"/>
    <tableColumn id="12" xr3:uid="{00000000-0010-0000-0C00-00000C000000}" name="Impressions"/>
    <tableColumn id="13" xr3:uid="{00000000-0010-0000-0C00-00000D000000}" name="Interactions"/>
    <tableColumn id="14" xr3:uid="{00000000-0010-0000-0C00-00000E000000}" name="Conver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1827"/>
  </sheetPr>
  <dimension ref="A1:R30"/>
  <sheetViews>
    <sheetView showGridLines="0" workbookViewId="0">
      <pane ySplit="5" topLeftCell="A7" activePane="bottomLeft" state="frozen"/>
      <selection pane="bottomLeft"/>
    </sheetView>
  </sheetViews>
  <sheetFormatPr baseColWidth="10" defaultColWidth="8.83203125" defaultRowHeight="14"/>
  <cols>
    <col min="1" max="1" width="26" customWidth="1"/>
    <col min="2" max="14" width="18" customWidth="1"/>
    <col min="15" max="15" width="12" customWidth="1"/>
    <col min="16" max="16" width="3" customWidth="1"/>
    <col min="17" max="17" width="31" customWidth="1"/>
    <col min="18" max="18" width="18" customWidth="1"/>
  </cols>
  <sheetData>
    <row r="1" spans="1:18" ht="8" customHeight="1"/>
    <row r="2" spans="1:18" ht="19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1</v>
      </c>
    </row>
    <row r="5" spans="1:18" ht="30" customHeight="1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6" t="s">
        <v>16</v>
      </c>
      <c r="Q5" s="4" t="s">
        <v>17</v>
      </c>
      <c r="R5" s="6" t="s">
        <v>18</v>
      </c>
    </row>
    <row r="6" spans="1:18" ht="21" customHeight="1">
      <c r="A6" s="7" t="s">
        <v>19</v>
      </c>
      <c r="B6" s="7" t="s">
        <v>20</v>
      </c>
      <c r="C6" s="9">
        <v>1136425</v>
      </c>
      <c r="D6" s="9">
        <f>'Jan 2026'!E120</f>
        <v>1136425</v>
      </c>
      <c r="E6" s="9">
        <f t="shared" ref="E6:E14" si="0">D6-C6</f>
        <v>0</v>
      </c>
      <c r="F6" s="9">
        <v>51561</v>
      </c>
      <c r="G6" s="9">
        <f>'Jan 2026'!F120</f>
        <v>51561</v>
      </c>
      <c r="H6" s="9">
        <f t="shared" ref="H6:H14" si="1">G6-F6</f>
        <v>0</v>
      </c>
      <c r="I6" s="9">
        <v>2145</v>
      </c>
      <c r="J6" s="9">
        <f>'Jan 2026'!G120</f>
        <v>2145</v>
      </c>
      <c r="K6" s="9">
        <f t="shared" ref="K6:K14" si="2">J6-I6</f>
        <v>0</v>
      </c>
      <c r="L6" s="11">
        <v>3119536.9607310002</v>
      </c>
      <c r="M6" s="11">
        <f>'Jan 2026'!H120</f>
        <v>3119536.9607310011</v>
      </c>
      <c r="N6" s="11">
        <f t="shared" ref="N6:N14" si="3">M6-L6</f>
        <v>0</v>
      </c>
      <c r="O6" s="7" t="str">
        <f t="shared" ref="O6:O14" si="4">IF(AND(ABS(E6)&lt;0.0001,ABS(H6)&lt;0.0001,ABS(K6)&lt;0.0001,ABS(N6)&lt;0.01),"PASS","CHECK")</f>
        <v>PASS</v>
      </c>
      <c r="Q6" s="7" t="s">
        <v>21</v>
      </c>
      <c r="R6" s="9">
        <v>9</v>
      </c>
    </row>
    <row r="7" spans="1:18" ht="21" customHeight="1">
      <c r="A7" s="7" t="s">
        <v>22</v>
      </c>
      <c r="B7" s="7" t="s">
        <v>20</v>
      </c>
      <c r="C7" s="9">
        <v>926205</v>
      </c>
      <c r="D7" s="9">
        <f>'Feb 2026'!E153</f>
        <v>926205</v>
      </c>
      <c r="E7" s="9">
        <f t="shared" si="0"/>
        <v>0</v>
      </c>
      <c r="F7" s="9">
        <v>66930</v>
      </c>
      <c r="G7" s="9">
        <f>'Feb 2026'!F153</f>
        <v>66930</v>
      </c>
      <c r="H7" s="9">
        <f t="shared" si="1"/>
        <v>0</v>
      </c>
      <c r="I7" s="9">
        <v>2020</v>
      </c>
      <c r="J7" s="9">
        <f>'Feb 2026'!G153</f>
        <v>2020</v>
      </c>
      <c r="K7" s="9">
        <f t="shared" si="2"/>
        <v>0</v>
      </c>
      <c r="L7" s="11">
        <v>1795755.3992409999</v>
      </c>
      <c r="M7" s="11">
        <f>'Feb 2026'!H153</f>
        <v>1795755.3992410004</v>
      </c>
      <c r="N7" s="11">
        <f t="shared" si="3"/>
        <v>0</v>
      </c>
      <c r="O7" s="7" t="str">
        <f t="shared" si="4"/>
        <v>PASS</v>
      </c>
      <c r="Q7" s="7" t="s">
        <v>4</v>
      </c>
      <c r="R7" s="9">
        <v>7887944</v>
      </c>
    </row>
    <row r="8" spans="1:18" ht="21" customHeight="1">
      <c r="A8" s="7" t="s">
        <v>23</v>
      </c>
      <c r="B8" s="7" t="s">
        <v>20</v>
      </c>
      <c r="C8" s="9">
        <v>858310</v>
      </c>
      <c r="D8" s="9">
        <f>'Mar 2026'!E123</f>
        <v>858310</v>
      </c>
      <c r="E8" s="9">
        <f t="shared" si="0"/>
        <v>0</v>
      </c>
      <c r="F8" s="9">
        <v>45218</v>
      </c>
      <c r="G8" s="9">
        <f>'Mar 2026'!F123</f>
        <v>45218</v>
      </c>
      <c r="H8" s="9">
        <f t="shared" si="1"/>
        <v>0</v>
      </c>
      <c r="I8" s="9">
        <v>1595</v>
      </c>
      <c r="J8" s="9">
        <f>'Mar 2026'!G123</f>
        <v>1595</v>
      </c>
      <c r="K8" s="9">
        <f t="shared" si="2"/>
        <v>0</v>
      </c>
      <c r="L8" s="11">
        <v>2180318.7508169999</v>
      </c>
      <c r="M8" s="11">
        <f>'Mar 2026'!H123</f>
        <v>2180318.7508169995</v>
      </c>
      <c r="N8" s="11">
        <f t="shared" si="3"/>
        <v>0</v>
      </c>
      <c r="O8" s="7" t="str">
        <f t="shared" si="4"/>
        <v>PASS</v>
      </c>
      <c r="Q8" s="7" t="s">
        <v>7</v>
      </c>
      <c r="R8" s="9">
        <v>414191</v>
      </c>
    </row>
    <row r="9" spans="1:18" ht="21" customHeight="1">
      <c r="A9" s="7" t="s">
        <v>24</v>
      </c>
      <c r="B9" s="7" t="s">
        <v>20</v>
      </c>
      <c r="C9" s="9">
        <v>688102</v>
      </c>
      <c r="D9" s="9">
        <f>'Apr 2026'!E127</f>
        <v>688102</v>
      </c>
      <c r="E9" s="9">
        <f t="shared" si="0"/>
        <v>0</v>
      </c>
      <c r="F9" s="9">
        <v>40662</v>
      </c>
      <c r="G9" s="9">
        <f>'Apr 2026'!F127</f>
        <v>40662</v>
      </c>
      <c r="H9" s="9">
        <f t="shared" si="1"/>
        <v>0</v>
      </c>
      <c r="I9" s="9">
        <v>1252</v>
      </c>
      <c r="J9" s="9">
        <f>'Apr 2026'!G127</f>
        <v>1252</v>
      </c>
      <c r="K9" s="9">
        <f t="shared" si="2"/>
        <v>0</v>
      </c>
      <c r="L9" s="11">
        <v>2050207.9072769999</v>
      </c>
      <c r="M9" s="11">
        <f>'Apr 2026'!H127</f>
        <v>2050207.9072769999</v>
      </c>
      <c r="N9" s="11">
        <f t="shared" si="3"/>
        <v>0</v>
      </c>
      <c r="O9" s="7" t="str">
        <f t="shared" si="4"/>
        <v>PASS</v>
      </c>
      <c r="Q9" s="7" t="s">
        <v>10</v>
      </c>
      <c r="R9" s="9">
        <v>12068</v>
      </c>
    </row>
    <row r="10" spans="1:18" ht="21" customHeight="1">
      <c r="A10" s="7" t="s">
        <v>25</v>
      </c>
      <c r="B10" s="7" t="s">
        <v>20</v>
      </c>
      <c r="C10" s="9">
        <v>783663</v>
      </c>
      <c r="D10" s="9">
        <f>'May 2026'!E128</f>
        <v>783663</v>
      </c>
      <c r="E10" s="9">
        <f t="shared" si="0"/>
        <v>0</v>
      </c>
      <c r="F10" s="9">
        <v>45827</v>
      </c>
      <c r="G10" s="9">
        <f>'May 2026'!F128</f>
        <v>45827</v>
      </c>
      <c r="H10" s="9">
        <f t="shared" si="1"/>
        <v>0</v>
      </c>
      <c r="I10" s="9">
        <v>1214</v>
      </c>
      <c r="J10" s="9">
        <f>'May 2026'!G128</f>
        <v>1214</v>
      </c>
      <c r="K10" s="9">
        <f t="shared" si="2"/>
        <v>0</v>
      </c>
      <c r="L10" s="11">
        <v>1992703.4964650001</v>
      </c>
      <c r="M10" s="11">
        <f>'May 2026'!H128</f>
        <v>1992703.4964650001</v>
      </c>
      <c r="N10" s="11">
        <f t="shared" si="3"/>
        <v>0</v>
      </c>
      <c r="O10" s="7" t="str">
        <f t="shared" si="4"/>
        <v>PASS</v>
      </c>
      <c r="Q10" s="7" t="s">
        <v>13</v>
      </c>
      <c r="R10" s="15">
        <v>17821652.408477999</v>
      </c>
    </row>
    <row r="11" spans="1:18" ht="21" customHeight="1">
      <c r="A11" s="7" t="s">
        <v>26</v>
      </c>
      <c r="B11" s="7" t="s">
        <v>20</v>
      </c>
      <c r="C11" s="9">
        <v>975320</v>
      </c>
      <c r="D11" s="9">
        <f>'Jun 2026'!E130</f>
        <v>975320</v>
      </c>
      <c r="E11" s="9">
        <f t="shared" si="0"/>
        <v>0</v>
      </c>
      <c r="F11" s="9">
        <v>49139</v>
      </c>
      <c r="G11" s="9">
        <f>'Jun 2026'!F130</f>
        <v>49139</v>
      </c>
      <c r="H11" s="9">
        <f t="shared" si="1"/>
        <v>0</v>
      </c>
      <c r="I11" s="9">
        <v>1125</v>
      </c>
      <c r="J11" s="9">
        <f>'Jun 2026'!G130</f>
        <v>1125</v>
      </c>
      <c r="K11" s="9">
        <f t="shared" si="2"/>
        <v>0</v>
      </c>
      <c r="L11" s="11">
        <v>2119102.5848050001</v>
      </c>
      <c r="M11" s="11">
        <f>'Jun 2026'!H130</f>
        <v>2119102.5848050006</v>
      </c>
      <c r="N11" s="11">
        <f t="shared" si="3"/>
        <v>0</v>
      </c>
      <c r="O11" s="7" t="str">
        <f t="shared" si="4"/>
        <v>PASS</v>
      </c>
      <c r="Q11" s="7" t="s">
        <v>27</v>
      </c>
      <c r="R11" s="9">
        <v>145</v>
      </c>
    </row>
    <row r="12" spans="1:18" ht="21" customHeight="1">
      <c r="A12" s="7" t="s">
        <v>28</v>
      </c>
      <c r="B12" s="7" t="s">
        <v>20</v>
      </c>
      <c r="C12" s="9">
        <v>1103999</v>
      </c>
      <c r="D12" s="9">
        <f>'Jul 2026'!E131</f>
        <v>1103999</v>
      </c>
      <c r="E12" s="9">
        <f t="shared" si="0"/>
        <v>0</v>
      </c>
      <c r="F12" s="9">
        <v>53391</v>
      </c>
      <c r="G12" s="9">
        <f>'Jul 2026'!F131</f>
        <v>53391</v>
      </c>
      <c r="H12" s="9">
        <f t="shared" si="1"/>
        <v>0</v>
      </c>
      <c r="I12" s="9">
        <v>1142</v>
      </c>
      <c r="J12" s="9">
        <f>'Jul 2026'!G131</f>
        <v>1142</v>
      </c>
      <c r="K12" s="9">
        <f t="shared" si="2"/>
        <v>0</v>
      </c>
      <c r="L12" s="11">
        <v>1916377.645458</v>
      </c>
      <c r="M12" s="11">
        <f>'Jul 2026'!H131</f>
        <v>1916377.6454579993</v>
      </c>
      <c r="N12" s="11">
        <f t="shared" si="3"/>
        <v>0</v>
      </c>
      <c r="O12" s="7" t="str">
        <f t="shared" si="4"/>
        <v>PASS</v>
      </c>
      <c r="Q12" s="7" t="s">
        <v>29</v>
      </c>
      <c r="R12" s="9">
        <v>0</v>
      </c>
    </row>
    <row r="13" spans="1:18" ht="21" customHeight="1">
      <c r="A13" s="7" t="s">
        <v>30</v>
      </c>
      <c r="B13" s="7" t="s">
        <v>20</v>
      </c>
      <c r="C13" s="9">
        <v>1135838</v>
      </c>
      <c r="D13" s="9">
        <f>'Aug 2026'!E130</f>
        <v>1135838</v>
      </c>
      <c r="E13" s="9">
        <f t="shared" si="0"/>
        <v>0</v>
      </c>
      <c r="F13" s="9">
        <v>49356</v>
      </c>
      <c r="G13" s="9">
        <f>'Aug 2026'!F130</f>
        <v>49356</v>
      </c>
      <c r="H13" s="9">
        <f t="shared" si="1"/>
        <v>0</v>
      </c>
      <c r="I13" s="9">
        <v>1262</v>
      </c>
      <c r="J13" s="9">
        <f>'Aug 2026'!G130</f>
        <v>1262</v>
      </c>
      <c r="K13" s="9">
        <f t="shared" si="2"/>
        <v>0</v>
      </c>
      <c r="L13" s="11">
        <v>2036642.474013</v>
      </c>
      <c r="M13" s="11">
        <f>'Aug 2026'!H130</f>
        <v>2036642.4740130003</v>
      </c>
      <c r="N13" s="11">
        <f t="shared" si="3"/>
        <v>0</v>
      </c>
      <c r="O13" s="7" t="str">
        <f t="shared" si="4"/>
        <v>PASS</v>
      </c>
      <c r="Q13" s="7" t="s">
        <v>31</v>
      </c>
      <c r="R13" s="9">
        <v>0</v>
      </c>
    </row>
    <row r="14" spans="1:18" ht="21" customHeight="1">
      <c r="A14" s="8" t="s">
        <v>32</v>
      </c>
      <c r="B14" s="8" t="s">
        <v>33</v>
      </c>
      <c r="C14" s="10">
        <v>280082</v>
      </c>
      <c r="D14" s="10">
        <f>'Sep 2026'!E123</f>
        <v>280082</v>
      </c>
      <c r="E14" s="10">
        <f t="shared" si="0"/>
        <v>0</v>
      </c>
      <c r="F14" s="10">
        <v>12107</v>
      </c>
      <c r="G14" s="10">
        <f>'Sep 2026'!F123</f>
        <v>12107</v>
      </c>
      <c r="H14" s="10">
        <f t="shared" si="1"/>
        <v>0</v>
      </c>
      <c r="I14" s="10">
        <v>313</v>
      </c>
      <c r="J14" s="10">
        <f>'Sep 2026'!G123</f>
        <v>313</v>
      </c>
      <c r="K14" s="10">
        <f t="shared" si="2"/>
        <v>0</v>
      </c>
      <c r="L14" s="12">
        <v>611007.189671</v>
      </c>
      <c r="M14" s="12">
        <f>'Sep 2026'!H123</f>
        <v>611007.18967100012</v>
      </c>
      <c r="N14" s="12">
        <f t="shared" si="3"/>
        <v>0</v>
      </c>
      <c r="O14" s="8" t="str">
        <f t="shared" si="4"/>
        <v>PASS</v>
      </c>
      <c r="Q14" s="8" t="s">
        <v>34</v>
      </c>
      <c r="R14" s="16">
        <v>989437.18999999959</v>
      </c>
    </row>
    <row r="18" spans="1:6" ht="30" customHeight="1">
      <c r="A18" s="4" t="s">
        <v>35</v>
      </c>
      <c r="B18" s="5" t="s">
        <v>36</v>
      </c>
      <c r="C18" s="5" t="s">
        <v>37</v>
      </c>
      <c r="D18" s="5" t="s">
        <v>38</v>
      </c>
      <c r="E18" s="5" t="s">
        <v>39</v>
      </c>
      <c r="F18" s="6" t="s">
        <v>40</v>
      </c>
    </row>
    <row r="19" spans="1:6" ht="21" customHeight="1">
      <c r="A19" s="7" t="s">
        <v>41</v>
      </c>
      <c r="B19" s="9">
        <v>5635480</v>
      </c>
      <c r="C19" s="9">
        <v>307427</v>
      </c>
      <c r="D19" s="9">
        <v>6237</v>
      </c>
      <c r="E19" s="11">
        <v>15627874.250529995</v>
      </c>
      <c r="F19" s="17">
        <v>0.87690377369808903</v>
      </c>
    </row>
    <row r="20" spans="1:6" ht="21" customHeight="1">
      <c r="A20" s="7" t="s">
        <v>42</v>
      </c>
      <c r="B20" s="9">
        <v>1116072</v>
      </c>
      <c r="C20" s="9">
        <v>64259</v>
      </c>
      <c r="D20" s="9">
        <v>3685</v>
      </c>
      <c r="E20" s="11">
        <v>1304709.0146000001</v>
      </c>
      <c r="F20" s="17">
        <v>7.320920556049744E-2</v>
      </c>
    </row>
    <row r="21" spans="1:6" ht="21" customHeight="1">
      <c r="A21" s="7" t="s">
        <v>43</v>
      </c>
      <c r="B21" s="9">
        <v>284721</v>
      </c>
      <c r="C21" s="9">
        <v>12862</v>
      </c>
      <c r="D21" s="9">
        <v>553</v>
      </c>
      <c r="E21" s="11">
        <v>228523.30726999999</v>
      </c>
      <c r="F21" s="17">
        <v>1.2822790055162807E-2</v>
      </c>
    </row>
    <row r="22" spans="1:6" ht="21" customHeight="1">
      <c r="A22" s="7" t="s">
        <v>44</v>
      </c>
      <c r="B22" s="9">
        <v>142237</v>
      </c>
      <c r="C22" s="9">
        <v>7129</v>
      </c>
      <c r="D22" s="9">
        <v>271</v>
      </c>
      <c r="E22" s="11">
        <v>261809.274749</v>
      </c>
      <c r="F22" s="17">
        <v>1.4690516274711643E-2</v>
      </c>
    </row>
    <row r="23" spans="1:6" ht="21" customHeight="1">
      <c r="A23" s="7" t="s">
        <v>45</v>
      </c>
      <c r="B23" s="9">
        <v>286828</v>
      </c>
      <c r="C23" s="9">
        <v>14587</v>
      </c>
      <c r="D23" s="9">
        <v>779</v>
      </c>
      <c r="E23" s="11">
        <v>283400.10458199994</v>
      </c>
      <c r="F23" s="17">
        <v>1.5902010547977172E-2</v>
      </c>
    </row>
    <row r="24" spans="1:6" ht="21" customHeight="1">
      <c r="A24" s="7" t="s">
        <v>46</v>
      </c>
      <c r="B24" s="9">
        <v>132761</v>
      </c>
      <c r="C24" s="9">
        <v>2635</v>
      </c>
      <c r="D24" s="9">
        <v>218</v>
      </c>
      <c r="E24" s="11">
        <v>177421.55220300003</v>
      </c>
      <c r="F24" s="17">
        <v>9.9553929196036957E-3</v>
      </c>
    </row>
    <row r="25" spans="1:6" ht="21" customHeight="1">
      <c r="A25" s="7" t="s">
        <v>47</v>
      </c>
      <c r="B25" s="9">
        <v>113944</v>
      </c>
      <c r="C25" s="9">
        <v>3638</v>
      </c>
      <c r="D25" s="9">
        <v>113</v>
      </c>
      <c r="E25" s="11">
        <v>53144.853439999999</v>
      </c>
      <c r="F25" s="17">
        <v>2.9820384901412555E-3</v>
      </c>
    </row>
    <row r="26" spans="1:6" ht="21" customHeight="1">
      <c r="A26" s="7" t="s">
        <v>48</v>
      </c>
      <c r="B26" s="9">
        <v>33594</v>
      </c>
      <c r="C26" s="9">
        <v>522</v>
      </c>
      <c r="D26" s="9">
        <v>8</v>
      </c>
      <c r="E26" s="11">
        <v>4375.000003000001</v>
      </c>
      <c r="F26" s="17">
        <v>2.4548789880554254E-4</v>
      </c>
    </row>
    <row r="27" spans="1:6" ht="21" customHeight="1">
      <c r="A27" s="7" t="s">
        <v>49</v>
      </c>
      <c r="B27" s="9">
        <v>115</v>
      </c>
      <c r="C27" s="9">
        <v>4</v>
      </c>
      <c r="D27" s="9">
        <v>0</v>
      </c>
      <c r="E27" s="11">
        <v>-98601.209986999995</v>
      </c>
      <c r="F27" s="17">
        <v>-5.5326637354959343E-3</v>
      </c>
    </row>
    <row r="28" spans="1:6" ht="21" customHeight="1">
      <c r="A28" s="7" t="s">
        <v>50</v>
      </c>
      <c r="B28" s="9">
        <v>78997</v>
      </c>
      <c r="C28" s="9">
        <v>28</v>
      </c>
      <c r="D28" s="9">
        <v>204</v>
      </c>
      <c r="E28" s="11">
        <v>-349.79509300000001</v>
      </c>
      <c r="F28" s="17">
        <v>-1.9627534247811823E-5</v>
      </c>
    </row>
    <row r="29" spans="1:6" ht="21" customHeight="1">
      <c r="A29" s="7" t="s">
        <v>51</v>
      </c>
      <c r="B29" s="9">
        <v>621</v>
      </c>
      <c r="C29" s="9">
        <v>4</v>
      </c>
      <c r="D29" s="9">
        <v>0</v>
      </c>
      <c r="E29" s="11">
        <v>-20653.943818999996</v>
      </c>
      <c r="F29" s="17">
        <v>-1.1589241752450877E-3</v>
      </c>
    </row>
    <row r="30" spans="1:6" ht="21" customHeight="1">
      <c r="A30" s="8" t="s">
        <v>52</v>
      </c>
      <c r="B30" s="10">
        <v>62574</v>
      </c>
      <c r="C30" s="10">
        <v>1096</v>
      </c>
      <c r="D30" s="10">
        <v>0</v>
      </c>
      <c r="E30" s="12">
        <v>0</v>
      </c>
      <c r="F30" s="18">
        <v>0</v>
      </c>
    </row>
  </sheetData>
  <conditionalFormatting sqref="O6:O14">
    <cfRule type="containsText" dxfId="2" priority="1" operator="containsText" text="CHECK"/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A3AF"/>
  </sheetPr>
  <dimension ref="A1:I1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29" customWidth="1"/>
    <col min="2" max="2" width="31" customWidth="1"/>
    <col min="3" max="3" width="48" customWidth="1"/>
    <col min="4" max="4" width="29" customWidth="1"/>
    <col min="5" max="7" width="17" customWidth="1"/>
    <col min="8" max="8" width="20" customWidth="1"/>
    <col min="9" max="9" width="38" customWidth="1"/>
  </cols>
  <sheetData>
    <row r="1" spans="1:9" ht="8" customHeight="1"/>
    <row r="2" spans="1:9" ht="19">
      <c r="A2" s="1" t="s">
        <v>53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54</v>
      </c>
    </row>
    <row r="5" spans="1:9" ht="30" customHeight="1">
      <c r="A5" s="4" t="s">
        <v>35</v>
      </c>
      <c r="B5" s="5" t="s">
        <v>55</v>
      </c>
      <c r="C5" s="5" t="s">
        <v>56</v>
      </c>
      <c r="D5" s="5" t="s">
        <v>57</v>
      </c>
      <c r="E5" s="5" t="s">
        <v>36</v>
      </c>
      <c r="F5" s="5" t="s">
        <v>37</v>
      </c>
      <c r="G5" s="5" t="s">
        <v>38</v>
      </c>
      <c r="H5" s="5" t="s">
        <v>39</v>
      </c>
      <c r="I5" s="6" t="s">
        <v>58</v>
      </c>
    </row>
    <row r="6" spans="1:9" ht="21" customHeight="1">
      <c r="A6" s="7" t="s">
        <v>41</v>
      </c>
      <c r="B6" s="7" t="s">
        <v>59</v>
      </c>
      <c r="C6" s="7" t="s">
        <v>60</v>
      </c>
      <c r="D6" s="7" t="s">
        <v>61</v>
      </c>
      <c r="E6" s="9">
        <v>337671</v>
      </c>
      <c r="F6" s="9">
        <v>16707</v>
      </c>
      <c r="G6" s="9">
        <v>696</v>
      </c>
      <c r="H6" s="11">
        <v>1080017.407502</v>
      </c>
      <c r="I6" s="7" t="s">
        <v>59</v>
      </c>
    </row>
    <row r="7" spans="1:9" ht="21" customHeight="1">
      <c r="A7" s="7" t="s">
        <v>41</v>
      </c>
      <c r="B7" s="7" t="s">
        <v>62</v>
      </c>
      <c r="C7" s="7" t="s">
        <v>63</v>
      </c>
      <c r="D7" s="7" t="s">
        <v>61</v>
      </c>
      <c r="E7" s="9">
        <v>141719</v>
      </c>
      <c r="F7" s="9">
        <v>5004</v>
      </c>
      <c r="G7" s="9">
        <v>115</v>
      </c>
      <c r="H7" s="11">
        <v>556449.99997500004</v>
      </c>
      <c r="I7" s="7" t="s">
        <v>62</v>
      </c>
    </row>
    <row r="8" spans="1:9" ht="21" customHeight="1">
      <c r="A8" s="7" t="s">
        <v>41</v>
      </c>
      <c r="B8" s="7" t="s">
        <v>64</v>
      </c>
      <c r="C8" s="7" t="s">
        <v>65</v>
      </c>
      <c r="D8" s="7" t="s">
        <v>61</v>
      </c>
      <c r="E8" s="9">
        <v>158042</v>
      </c>
      <c r="F8" s="9">
        <v>6271</v>
      </c>
      <c r="G8" s="9">
        <v>121</v>
      </c>
      <c r="H8" s="11">
        <v>371983.72614700004</v>
      </c>
      <c r="I8" s="7" t="s">
        <v>64</v>
      </c>
    </row>
    <row r="9" spans="1:9" ht="21" customHeight="1">
      <c r="A9" s="7" t="s">
        <v>41</v>
      </c>
      <c r="B9" s="7" t="s">
        <v>66</v>
      </c>
      <c r="C9" s="7" t="s">
        <v>67</v>
      </c>
      <c r="D9" s="7" t="s">
        <v>61</v>
      </c>
      <c r="E9" s="9">
        <v>59188</v>
      </c>
      <c r="F9" s="9">
        <v>2553</v>
      </c>
      <c r="G9" s="9">
        <v>119</v>
      </c>
      <c r="H9" s="11">
        <v>311135.45740100002</v>
      </c>
      <c r="I9" s="7" t="s">
        <v>66</v>
      </c>
    </row>
    <row r="10" spans="1:9" ht="21" customHeight="1">
      <c r="A10" s="7" t="s">
        <v>41</v>
      </c>
      <c r="B10" s="7" t="s">
        <v>68</v>
      </c>
      <c r="C10" s="7" t="s">
        <v>69</v>
      </c>
      <c r="D10" s="7" t="s">
        <v>61</v>
      </c>
      <c r="E10" s="9">
        <v>84678</v>
      </c>
      <c r="F10" s="9">
        <v>3151</v>
      </c>
      <c r="G10" s="9">
        <v>4</v>
      </c>
      <c r="H10" s="11">
        <v>114050.000002</v>
      </c>
      <c r="I10" s="7" t="s">
        <v>68</v>
      </c>
    </row>
    <row r="11" spans="1:9" ht="21" customHeight="1">
      <c r="A11" s="7" t="s">
        <v>41</v>
      </c>
      <c r="B11" s="7" t="s">
        <v>70</v>
      </c>
      <c r="C11" s="7" t="s">
        <v>71</v>
      </c>
      <c r="D11" s="7" t="s">
        <v>61</v>
      </c>
      <c r="E11" s="9">
        <v>19636</v>
      </c>
      <c r="F11" s="9">
        <v>945</v>
      </c>
      <c r="G11" s="9">
        <v>45</v>
      </c>
      <c r="H11" s="11">
        <v>71050.000012999997</v>
      </c>
      <c r="I11" s="7" t="s">
        <v>70</v>
      </c>
    </row>
    <row r="12" spans="1:9" ht="21" customHeight="1">
      <c r="A12" s="7" t="s">
        <v>41</v>
      </c>
      <c r="B12" s="7" t="s">
        <v>72</v>
      </c>
      <c r="C12" s="7" t="s">
        <v>73</v>
      </c>
      <c r="D12" s="7" t="s">
        <v>61</v>
      </c>
      <c r="E12" s="9">
        <v>17303</v>
      </c>
      <c r="F12" s="9">
        <v>841</v>
      </c>
      <c r="G12" s="9">
        <v>9</v>
      </c>
      <c r="H12" s="11">
        <v>37650.000003000001</v>
      </c>
      <c r="I12" s="7" t="s">
        <v>72</v>
      </c>
    </row>
    <row r="13" spans="1:9" ht="21" customHeight="1">
      <c r="A13" s="7" t="s">
        <v>42</v>
      </c>
      <c r="B13" s="7" t="s">
        <v>74</v>
      </c>
      <c r="C13" s="7" t="s">
        <v>75</v>
      </c>
      <c r="D13" s="7" t="s">
        <v>61</v>
      </c>
      <c r="E13" s="9">
        <v>23798</v>
      </c>
      <c r="F13" s="9">
        <v>1676</v>
      </c>
      <c r="G13" s="9">
        <v>120</v>
      </c>
      <c r="H13" s="11">
        <v>58663.668199</v>
      </c>
      <c r="I13" s="7" t="s">
        <v>74</v>
      </c>
    </row>
    <row r="14" spans="1:9" ht="21" customHeight="1">
      <c r="A14" s="7" t="s">
        <v>42</v>
      </c>
      <c r="B14" s="7" t="s">
        <v>76</v>
      </c>
      <c r="C14" s="7" t="s">
        <v>77</v>
      </c>
      <c r="D14" s="7" t="s">
        <v>61</v>
      </c>
      <c r="E14" s="9">
        <v>38420</v>
      </c>
      <c r="F14" s="9">
        <v>2014</v>
      </c>
      <c r="G14" s="9">
        <v>128</v>
      </c>
      <c r="H14" s="11">
        <v>58411.157959999997</v>
      </c>
      <c r="I14" s="7" t="s">
        <v>76</v>
      </c>
    </row>
    <row r="15" spans="1:9" ht="21" customHeight="1">
      <c r="A15" s="7" t="s">
        <v>42</v>
      </c>
      <c r="B15" s="7" t="s">
        <v>78</v>
      </c>
      <c r="C15" s="7" t="s">
        <v>79</v>
      </c>
      <c r="D15" s="7" t="s">
        <v>61</v>
      </c>
      <c r="E15" s="9">
        <v>27338</v>
      </c>
      <c r="F15" s="9">
        <v>2533</v>
      </c>
      <c r="G15" s="9">
        <v>198</v>
      </c>
      <c r="H15" s="11">
        <v>56896.911458000002</v>
      </c>
      <c r="I15" s="7" t="s">
        <v>78</v>
      </c>
    </row>
    <row r="16" spans="1:9" ht="21" customHeight="1">
      <c r="A16" s="7" t="s">
        <v>42</v>
      </c>
      <c r="B16" s="7" t="s">
        <v>80</v>
      </c>
      <c r="C16" s="7" t="s">
        <v>81</v>
      </c>
      <c r="D16" s="7" t="s">
        <v>61</v>
      </c>
      <c r="E16" s="9">
        <v>9736</v>
      </c>
      <c r="F16" s="9">
        <v>478</v>
      </c>
      <c r="G16" s="9">
        <v>38</v>
      </c>
      <c r="H16" s="11">
        <v>43059.999997999999</v>
      </c>
      <c r="I16" s="7" t="s">
        <v>80</v>
      </c>
    </row>
    <row r="17" spans="1:9" ht="21" customHeight="1">
      <c r="A17" s="7" t="s">
        <v>42</v>
      </c>
      <c r="B17" s="7" t="s">
        <v>82</v>
      </c>
      <c r="C17" s="7" t="s">
        <v>83</v>
      </c>
      <c r="D17" s="7" t="s">
        <v>61</v>
      </c>
      <c r="E17" s="9">
        <v>13166</v>
      </c>
      <c r="F17" s="9">
        <v>1037</v>
      </c>
      <c r="G17" s="9">
        <v>72</v>
      </c>
      <c r="H17" s="11">
        <v>39752.344484000001</v>
      </c>
      <c r="I17" s="7" t="s">
        <v>82</v>
      </c>
    </row>
    <row r="18" spans="1:9" ht="21" customHeight="1">
      <c r="A18" s="7" t="s">
        <v>42</v>
      </c>
      <c r="B18" s="7" t="s">
        <v>84</v>
      </c>
      <c r="C18" s="7" t="s">
        <v>85</v>
      </c>
      <c r="D18" s="7" t="s">
        <v>61</v>
      </c>
      <c r="E18" s="9">
        <v>10190</v>
      </c>
      <c r="F18" s="9">
        <v>193</v>
      </c>
      <c r="G18" s="9">
        <v>4</v>
      </c>
      <c r="H18" s="11">
        <v>34499.999994999998</v>
      </c>
      <c r="I18" s="7" t="s">
        <v>84</v>
      </c>
    </row>
    <row r="19" spans="1:9" ht="21" customHeight="1">
      <c r="A19" s="7" t="s">
        <v>42</v>
      </c>
      <c r="B19" s="7" t="s">
        <v>86</v>
      </c>
      <c r="C19" s="7" t="s">
        <v>87</v>
      </c>
      <c r="D19" s="7" t="s">
        <v>61</v>
      </c>
      <c r="E19" s="9">
        <v>13636</v>
      </c>
      <c r="F19" s="9">
        <v>986</v>
      </c>
      <c r="G19" s="9">
        <v>77</v>
      </c>
      <c r="H19" s="11">
        <v>22533.639062999999</v>
      </c>
      <c r="I19" s="7" t="s">
        <v>86</v>
      </c>
    </row>
    <row r="20" spans="1:9" ht="21" customHeight="1">
      <c r="A20" s="7" t="s">
        <v>42</v>
      </c>
      <c r="B20" s="7" t="s">
        <v>88</v>
      </c>
      <c r="C20" s="7" t="s">
        <v>89</v>
      </c>
      <c r="D20" s="7" t="s">
        <v>61</v>
      </c>
      <c r="E20" s="9">
        <v>11385</v>
      </c>
      <c r="F20" s="9">
        <v>828</v>
      </c>
      <c r="G20" s="9">
        <v>67</v>
      </c>
      <c r="H20" s="11">
        <v>20328.911751</v>
      </c>
      <c r="I20" s="7" t="s">
        <v>88</v>
      </c>
    </row>
    <row r="21" spans="1:9" ht="21" customHeight="1">
      <c r="A21" s="7" t="s">
        <v>42</v>
      </c>
      <c r="B21" s="7" t="s">
        <v>90</v>
      </c>
      <c r="C21" s="7" t="s">
        <v>91</v>
      </c>
      <c r="D21" s="7" t="s">
        <v>61</v>
      </c>
      <c r="E21" s="9">
        <v>11848</v>
      </c>
      <c r="F21" s="9">
        <v>474</v>
      </c>
      <c r="G21" s="9">
        <v>27</v>
      </c>
      <c r="H21" s="11">
        <v>19227.099994</v>
      </c>
      <c r="I21" s="7" t="s">
        <v>90</v>
      </c>
    </row>
    <row r="22" spans="1:9" ht="21" customHeight="1">
      <c r="A22" s="7" t="s">
        <v>42</v>
      </c>
      <c r="B22" s="7" t="s">
        <v>92</v>
      </c>
      <c r="C22" s="7" t="s">
        <v>93</v>
      </c>
      <c r="D22" s="7" t="s">
        <v>61</v>
      </c>
      <c r="E22" s="9">
        <v>8958</v>
      </c>
      <c r="F22" s="9">
        <v>401</v>
      </c>
      <c r="G22" s="9">
        <v>38</v>
      </c>
      <c r="H22" s="11">
        <v>16803.949993999999</v>
      </c>
      <c r="I22" s="7" t="s">
        <v>92</v>
      </c>
    </row>
    <row r="23" spans="1:9" ht="21" customHeight="1">
      <c r="A23" s="7" t="s">
        <v>42</v>
      </c>
      <c r="B23" s="7" t="s">
        <v>94</v>
      </c>
      <c r="C23" s="7" t="s">
        <v>95</v>
      </c>
      <c r="D23" s="7" t="s">
        <v>61</v>
      </c>
      <c r="E23" s="9">
        <v>5967</v>
      </c>
      <c r="F23" s="9">
        <v>153</v>
      </c>
      <c r="G23" s="9">
        <v>2</v>
      </c>
      <c r="H23" s="11">
        <v>9335</v>
      </c>
      <c r="I23" s="7" t="s">
        <v>94</v>
      </c>
    </row>
    <row r="24" spans="1:9" ht="21" customHeight="1">
      <c r="A24" s="7" t="s">
        <v>42</v>
      </c>
      <c r="B24" s="7" t="s">
        <v>96</v>
      </c>
      <c r="C24" s="7" t="s">
        <v>97</v>
      </c>
      <c r="D24" s="7" t="s">
        <v>61</v>
      </c>
      <c r="E24" s="9">
        <v>7222</v>
      </c>
      <c r="F24" s="9">
        <v>203</v>
      </c>
      <c r="G24" s="9">
        <v>3</v>
      </c>
      <c r="H24" s="11">
        <v>8669</v>
      </c>
      <c r="I24" s="7" t="s">
        <v>96</v>
      </c>
    </row>
    <row r="25" spans="1:9" ht="21" customHeight="1">
      <c r="A25" s="7" t="s">
        <v>42</v>
      </c>
      <c r="B25" s="7" t="s">
        <v>98</v>
      </c>
      <c r="C25" s="7" t="s">
        <v>99</v>
      </c>
      <c r="D25" s="7" t="s">
        <v>61</v>
      </c>
      <c r="E25" s="9">
        <v>1779</v>
      </c>
      <c r="F25" s="9">
        <v>116</v>
      </c>
      <c r="G25" s="9">
        <v>2</v>
      </c>
      <c r="H25" s="11">
        <v>2610.9786559999998</v>
      </c>
      <c r="I25" s="7" t="s">
        <v>98</v>
      </c>
    </row>
    <row r="26" spans="1:9" ht="21" customHeight="1">
      <c r="A26" s="7" t="s">
        <v>42</v>
      </c>
      <c r="B26" s="7" t="s">
        <v>100</v>
      </c>
      <c r="C26" s="7" t="s">
        <v>101</v>
      </c>
      <c r="D26" s="7" t="s">
        <v>61</v>
      </c>
      <c r="E26" s="9">
        <v>100</v>
      </c>
      <c r="F26" s="9">
        <v>0</v>
      </c>
      <c r="G26" s="9">
        <v>0</v>
      </c>
      <c r="H26" s="11">
        <v>0</v>
      </c>
      <c r="I26" s="7" t="s">
        <v>100</v>
      </c>
    </row>
    <row r="27" spans="1:9" ht="21" customHeight="1">
      <c r="A27" s="7" t="s">
        <v>42</v>
      </c>
      <c r="B27" s="7" t="s">
        <v>102</v>
      </c>
      <c r="C27" s="7" t="s">
        <v>103</v>
      </c>
      <c r="D27" s="7" t="s">
        <v>61</v>
      </c>
      <c r="E27" s="9">
        <v>145</v>
      </c>
      <c r="F27" s="9">
        <v>7</v>
      </c>
      <c r="G27" s="9">
        <v>0</v>
      </c>
      <c r="H27" s="11">
        <v>0</v>
      </c>
      <c r="I27" s="7" t="s">
        <v>102</v>
      </c>
    </row>
    <row r="28" spans="1:9" ht="21" customHeight="1">
      <c r="A28" s="7" t="s">
        <v>42</v>
      </c>
      <c r="B28" s="7" t="s">
        <v>104</v>
      </c>
      <c r="C28" s="7" t="s">
        <v>105</v>
      </c>
      <c r="D28" s="7" t="s">
        <v>61</v>
      </c>
      <c r="E28" s="9">
        <v>17</v>
      </c>
      <c r="F28" s="9">
        <v>0</v>
      </c>
      <c r="G28" s="9">
        <v>0</v>
      </c>
      <c r="H28" s="11">
        <v>0</v>
      </c>
      <c r="I28" s="7" t="s">
        <v>104</v>
      </c>
    </row>
    <row r="29" spans="1:9" ht="21" customHeight="1">
      <c r="A29" s="7" t="s">
        <v>42</v>
      </c>
      <c r="B29" s="7" t="s">
        <v>106</v>
      </c>
      <c r="C29" s="7" t="s">
        <v>107</v>
      </c>
      <c r="D29" s="7" t="s">
        <v>61</v>
      </c>
      <c r="E29" s="9">
        <v>38</v>
      </c>
      <c r="F29" s="9">
        <v>0</v>
      </c>
      <c r="G29" s="9">
        <v>0</v>
      </c>
      <c r="H29" s="11">
        <v>0</v>
      </c>
      <c r="I29" s="7" t="s">
        <v>106</v>
      </c>
    </row>
    <row r="30" spans="1:9" ht="21" customHeight="1">
      <c r="A30" s="7" t="s">
        <v>42</v>
      </c>
      <c r="B30" s="7" t="s">
        <v>108</v>
      </c>
      <c r="C30" s="7" t="s">
        <v>109</v>
      </c>
      <c r="D30" s="7" t="s">
        <v>61</v>
      </c>
      <c r="E30" s="9">
        <v>352</v>
      </c>
      <c r="F30" s="9">
        <v>0</v>
      </c>
      <c r="G30" s="9">
        <v>0</v>
      </c>
      <c r="H30" s="11">
        <v>0</v>
      </c>
      <c r="I30" s="7" t="s">
        <v>108</v>
      </c>
    </row>
    <row r="31" spans="1:9" ht="21" customHeight="1">
      <c r="A31" s="7" t="s">
        <v>42</v>
      </c>
      <c r="B31" s="7" t="s">
        <v>110</v>
      </c>
      <c r="C31" s="7" t="s">
        <v>111</v>
      </c>
      <c r="D31" s="7" t="s">
        <v>61</v>
      </c>
      <c r="E31" s="9">
        <v>28</v>
      </c>
      <c r="F31" s="9">
        <v>0</v>
      </c>
      <c r="G31" s="9">
        <v>0</v>
      </c>
      <c r="H31" s="11">
        <v>0</v>
      </c>
      <c r="I31" s="7" t="s">
        <v>110</v>
      </c>
    </row>
    <row r="32" spans="1:9" ht="21" customHeight="1">
      <c r="A32" s="7" t="s">
        <v>42</v>
      </c>
      <c r="B32" s="7" t="s">
        <v>112</v>
      </c>
      <c r="C32" s="7" t="s">
        <v>113</v>
      </c>
      <c r="D32" s="7" t="s">
        <v>61</v>
      </c>
      <c r="E32" s="9">
        <v>200</v>
      </c>
      <c r="F32" s="9">
        <v>0</v>
      </c>
      <c r="G32" s="9">
        <v>0</v>
      </c>
      <c r="H32" s="11">
        <v>0</v>
      </c>
      <c r="I32" s="7" t="s">
        <v>112</v>
      </c>
    </row>
    <row r="33" spans="1:9" ht="21" customHeight="1">
      <c r="A33" s="7" t="s">
        <v>42</v>
      </c>
      <c r="B33" s="7" t="s">
        <v>114</v>
      </c>
      <c r="C33" s="7" t="s">
        <v>115</v>
      </c>
      <c r="D33" s="7" t="s">
        <v>61</v>
      </c>
      <c r="E33" s="9">
        <v>46</v>
      </c>
      <c r="F33" s="9">
        <v>0</v>
      </c>
      <c r="G33" s="9">
        <v>0</v>
      </c>
      <c r="H33" s="11">
        <v>0</v>
      </c>
      <c r="I33" s="7" t="s">
        <v>114</v>
      </c>
    </row>
    <row r="34" spans="1:9" ht="21" customHeight="1">
      <c r="A34" s="7" t="s">
        <v>42</v>
      </c>
      <c r="B34" s="7" t="s">
        <v>116</v>
      </c>
      <c r="C34" s="7" t="s">
        <v>116</v>
      </c>
      <c r="D34" s="7" t="s">
        <v>61</v>
      </c>
      <c r="E34" s="9">
        <v>55</v>
      </c>
      <c r="F34" s="9">
        <v>0</v>
      </c>
      <c r="G34" s="9">
        <v>0</v>
      </c>
      <c r="H34" s="11">
        <v>0</v>
      </c>
      <c r="I34" s="7" t="s">
        <v>116</v>
      </c>
    </row>
    <row r="35" spans="1:9" ht="21" customHeight="1">
      <c r="A35" s="7" t="s">
        <v>43</v>
      </c>
      <c r="B35" s="7" t="s">
        <v>117</v>
      </c>
      <c r="C35" s="7" t="s">
        <v>118</v>
      </c>
      <c r="D35" s="7" t="s">
        <v>61</v>
      </c>
      <c r="E35" s="9">
        <v>8685</v>
      </c>
      <c r="F35" s="9">
        <v>466</v>
      </c>
      <c r="G35" s="9">
        <v>27</v>
      </c>
      <c r="H35" s="11">
        <v>13861.688031</v>
      </c>
      <c r="I35" s="7" t="s">
        <v>117</v>
      </c>
    </row>
    <row r="36" spans="1:9" ht="21" customHeight="1">
      <c r="A36" s="7" t="s">
        <v>43</v>
      </c>
      <c r="B36" s="7" t="s">
        <v>119</v>
      </c>
      <c r="C36" s="7" t="s">
        <v>120</v>
      </c>
      <c r="D36" s="7" t="s">
        <v>61</v>
      </c>
      <c r="E36" s="9">
        <v>967</v>
      </c>
      <c r="F36" s="9">
        <v>50</v>
      </c>
      <c r="G36" s="9">
        <v>3</v>
      </c>
      <c r="H36" s="11">
        <v>2354.9999990000001</v>
      </c>
      <c r="I36" s="7" t="s">
        <v>119</v>
      </c>
    </row>
    <row r="37" spans="1:9" ht="21" customHeight="1">
      <c r="A37" s="7" t="s">
        <v>43</v>
      </c>
      <c r="B37" s="7" t="s">
        <v>121</v>
      </c>
      <c r="C37" s="7" t="s">
        <v>122</v>
      </c>
      <c r="D37" s="7" t="s">
        <v>61</v>
      </c>
      <c r="E37" s="9">
        <v>2748</v>
      </c>
      <c r="F37" s="9">
        <v>98</v>
      </c>
      <c r="G37" s="9">
        <v>5</v>
      </c>
      <c r="H37" s="11">
        <v>1795.0000050000001</v>
      </c>
      <c r="I37" s="7" t="s">
        <v>121</v>
      </c>
    </row>
    <row r="38" spans="1:9" ht="21" customHeight="1">
      <c r="A38" s="7" t="s">
        <v>44</v>
      </c>
      <c r="B38" s="7" t="s">
        <v>123</v>
      </c>
      <c r="C38" s="7" t="s">
        <v>124</v>
      </c>
      <c r="D38" s="7" t="s">
        <v>61</v>
      </c>
      <c r="E38" s="9">
        <v>1435</v>
      </c>
      <c r="F38" s="9">
        <v>58</v>
      </c>
      <c r="G38" s="9">
        <v>3</v>
      </c>
      <c r="H38" s="11">
        <v>17235.000003000001</v>
      </c>
      <c r="I38" s="7" t="s">
        <v>123</v>
      </c>
    </row>
    <row r="39" spans="1:9" ht="21" customHeight="1">
      <c r="A39" s="7" t="s">
        <v>44</v>
      </c>
      <c r="B39" s="7" t="s">
        <v>125</v>
      </c>
      <c r="C39" s="7" t="s">
        <v>126</v>
      </c>
      <c r="D39" s="7" t="s">
        <v>61</v>
      </c>
      <c r="E39" s="9">
        <v>3319</v>
      </c>
      <c r="F39" s="9">
        <v>217</v>
      </c>
      <c r="G39" s="9">
        <v>6</v>
      </c>
      <c r="H39" s="11">
        <v>16819.999996999999</v>
      </c>
      <c r="I39" s="7" t="s">
        <v>125</v>
      </c>
    </row>
    <row r="40" spans="1:9" ht="21" customHeight="1">
      <c r="A40" s="7" t="s">
        <v>44</v>
      </c>
      <c r="B40" s="7" t="s">
        <v>127</v>
      </c>
      <c r="C40" s="7" t="s">
        <v>128</v>
      </c>
      <c r="D40" s="7" t="s">
        <v>61</v>
      </c>
      <c r="E40" s="9">
        <v>4206</v>
      </c>
      <c r="F40" s="9">
        <v>241</v>
      </c>
      <c r="G40" s="9">
        <v>7</v>
      </c>
      <c r="H40" s="11">
        <v>12064.999997000001</v>
      </c>
      <c r="I40" s="7" t="s">
        <v>127</v>
      </c>
    </row>
    <row r="41" spans="1:9" ht="21" customHeight="1">
      <c r="A41" s="7" t="s">
        <v>44</v>
      </c>
      <c r="B41" s="7" t="s">
        <v>129</v>
      </c>
      <c r="C41" s="7" t="s">
        <v>130</v>
      </c>
      <c r="D41" s="7" t="s">
        <v>61</v>
      </c>
      <c r="E41" s="9">
        <v>2691</v>
      </c>
      <c r="F41" s="9">
        <v>79</v>
      </c>
      <c r="G41" s="9">
        <v>2</v>
      </c>
      <c r="H41" s="11">
        <v>4339.9999989999997</v>
      </c>
      <c r="I41" s="7" t="s">
        <v>129</v>
      </c>
    </row>
    <row r="42" spans="1:9" ht="21" customHeight="1">
      <c r="A42" s="7" t="s">
        <v>44</v>
      </c>
      <c r="B42" s="7" t="s">
        <v>131</v>
      </c>
      <c r="C42" s="7" t="s">
        <v>132</v>
      </c>
      <c r="D42" s="7" t="s">
        <v>61</v>
      </c>
      <c r="E42" s="9">
        <v>491</v>
      </c>
      <c r="F42" s="9">
        <v>42</v>
      </c>
      <c r="G42" s="9">
        <v>4</v>
      </c>
      <c r="H42" s="11">
        <v>742.49999800000001</v>
      </c>
      <c r="I42" s="7" t="s">
        <v>131</v>
      </c>
    </row>
    <row r="43" spans="1:9" ht="21" customHeight="1">
      <c r="A43" s="7" t="s">
        <v>44</v>
      </c>
      <c r="B43" s="7" t="s">
        <v>133</v>
      </c>
      <c r="C43" s="7" t="s">
        <v>134</v>
      </c>
      <c r="D43" s="7" t="s">
        <v>61</v>
      </c>
      <c r="E43" s="9">
        <v>563</v>
      </c>
      <c r="F43" s="9">
        <v>17</v>
      </c>
      <c r="G43" s="9">
        <v>0</v>
      </c>
      <c r="H43" s="11">
        <v>0</v>
      </c>
      <c r="I43" s="7" t="s">
        <v>133</v>
      </c>
    </row>
    <row r="44" spans="1:9" ht="21" customHeight="1">
      <c r="A44" s="7" t="s">
        <v>44</v>
      </c>
      <c r="B44" s="7" t="s">
        <v>135</v>
      </c>
      <c r="C44" s="7" t="s">
        <v>136</v>
      </c>
      <c r="D44" s="7" t="s">
        <v>61</v>
      </c>
      <c r="E44" s="9">
        <v>484</v>
      </c>
      <c r="F44" s="9">
        <v>23</v>
      </c>
      <c r="G44" s="9">
        <v>0</v>
      </c>
      <c r="H44" s="11">
        <v>0</v>
      </c>
      <c r="I44" s="7" t="s">
        <v>135</v>
      </c>
    </row>
    <row r="45" spans="1:9" ht="21" customHeight="1">
      <c r="A45" s="7" t="s">
        <v>45</v>
      </c>
      <c r="B45" s="7" t="s">
        <v>137</v>
      </c>
      <c r="C45" s="7" t="s">
        <v>138</v>
      </c>
      <c r="D45" s="7" t="s">
        <v>61</v>
      </c>
      <c r="E45" s="9">
        <v>12742</v>
      </c>
      <c r="F45" s="9">
        <v>648</v>
      </c>
      <c r="G45" s="9">
        <v>6</v>
      </c>
      <c r="H45" s="11">
        <v>49600.000001</v>
      </c>
      <c r="I45" s="7" t="s">
        <v>137</v>
      </c>
    </row>
    <row r="46" spans="1:9" ht="21" customHeight="1">
      <c r="A46" s="7" t="s">
        <v>45</v>
      </c>
      <c r="B46" s="7" t="s">
        <v>139</v>
      </c>
      <c r="C46" s="7" t="s">
        <v>140</v>
      </c>
      <c r="D46" s="7" t="s">
        <v>61</v>
      </c>
      <c r="E46" s="9">
        <v>18982</v>
      </c>
      <c r="F46" s="9">
        <v>1571</v>
      </c>
      <c r="G46" s="9">
        <v>127</v>
      </c>
      <c r="H46" s="11">
        <v>37242.350010000002</v>
      </c>
      <c r="I46" s="7" t="s">
        <v>139</v>
      </c>
    </row>
    <row r="47" spans="1:9" ht="21" customHeight="1">
      <c r="A47" s="7" t="s">
        <v>45</v>
      </c>
      <c r="B47" s="7" t="s">
        <v>141</v>
      </c>
      <c r="C47" s="7" t="s">
        <v>142</v>
      </c>
      <c r="D47" s="7" t="s">
        <v>61</v>
      </c>
      <c r="E47" s="9">
        <v>383</v>
      </c>
      <c r="F47" s="9">
        <v>24</v>
      </c>
      <c r="G47" s="9">
        <v>1</v>
      </c>
      <c r="H47" s="11">
        <v>795</v>
      </c>
      <c r="I47" s="7" t="s">
        <v>141</v>
      </c>
    </row>
    <row r="48" spans="1:9" ht="21" customHeight="1">
      <c r="A48" s="7" t="s">
        <v>45</v>
      </c>
      <c r="B48" s="7" t="s">
        <v>143</v>
      </c>
      <c r="C48" s="7" t="s">
        <v>144</v>
      </c>
      <c r="D48" s="7" t="s">
        <v>61</v>
      </c>
      <c r="E48" s="9">
        <v>1941</v>
      </c>
      <c r="F48" s="9">
        <v>18</v>
      </c>
      <c r="G48" s="9">
        <v>1</v>
      </c>
      <c r="H48" s="11">
        <v>276.67831000000001</v>
      </c>
      <c r="I48" s="7" t="s">
        <v>143</v>
      </c>
    </row>
    <row r="49" spans="1:9" ht="21" customHeight="1">
      <c r="A49" s="7" t="s">
        <v>45</v>
      </c>
      <c r="B49" s="7" t="s">
        <v>145</v>
      </c>
      <c r="C49" s="7" t="s">
        <v>146</v>
      </c>
      <c r="D49" s="7" t="s">
        <v>61</v>
      </c>
      <c r="E49" s="9">
        <v>428</v>
      </c>
      <c r="F49" s="9">
        <v>58</v>
      </c>
      <c r="G49" s="9">
        <v>4</v>
      </c>
      <c r="H49" s="11">
        <v>213.499999</v>
      </c>
      <c r="I49" s="7" t="s">
        <v>145</v>
      </c>
    </row>
    <row r="50" spans="1:9" ht="21" customHeight="1">
      <c r="A50" s="7" t="s">
        <v>45</v>
      </c>
      <c r="B50" s="7" t="s">
        <v>147</v>
      </c>
      <c r="C50" s="7" t="s">
        <v>148</v>
      </c>
      <c r="D50" s="7" t="s">
        <v>61</v>
      </c>
      <c r="E50" s="9">
        <v>100</v>
      </c>
      <c r="F50" s="9">
        <v>0</v>
      </c>
      <c r="G50" s="9">
        <v>0</v>
      </c>
      <c r="H50" s="11">
        <v>0</v>
      </c>
      <c r="I50" s="7" t="s">
        <v>147</v>
      </c>
    </row>
    <row r="51" spans="1:9" ht="21" customHeight="1">
      <c r="A51" s="7" t="s">
        <v>45</v>
      </c>
      <c r="B51" s="7" t="s">
        <v>149</v>
      </c>
      <c r="C51" s="7" t="s">
        <v>150</v>
      </c>
      <c r="D51" s="7" t="s">
        <v>151</v>
      </c>
      <c r="E51" s="9">
        <v>16</v>
      </c>
      <c r="F51" s="9">
        <v>0</v>
      </c>
      <c r="G51" s="9">
        <v>0</v>
      </c>
      <c r="H51" s="11">
        <v>0</v>
      </c>
      <c r="I51" s="7" t="s">
        <v>152</v>
      </c>
    </row>
    <row r="52" spans="1:9" ht="21" customHeight="1">
      <c r="A52" s="7" t="s">
        <v>45</v>
      </c>
      <c r="B52" s="7" t="s">
        <v>153</v>
      </c>
      <c r="C52" s="7" t="s">
        <v>154</v>
      </c>
      <c r="D52" s="7" t="s">
        <v>61</v>
      </c>
      <c r="E52" s="9">
        <v>146</v>
      </c>
      <c r="F52" s="9">
        <v>1</v>
      </c>
      <c r="G52" s="9">
        <v>0</v>
      </c>
      <c r="H52" s="11">
        <v>0</v>
      </c>
      <c r="I52" s="7" t="s">
        <v>153</v>
      </c>
    </row>
    <row r="53" spans="1:9" ht="21" customHeight="1">
      <c r="A53" s="7" t="s">
        <v>45</v>
      </c>
      <c r="B53" s="7" t="s">
        <v>155</v>
      </c>
      <c r="C53" s="7" t="s">
        <v>156</v>
      </c>
      <c r="D53" s="7" t="s">
        <v>61</v>
      </c>
      <c r="E53" s="9">
        <v>310</v>
      </c>
      <c r="F53" s="9">
        <v>7</v>
      </c>
      <c r="G53" s="9">
        <v>0</v>
      </c>
      <c r="H53" s="11">
        <v>0</v>
      </c>
      <c r="I53" s="7" t="s">
        <v>155</v>
      </c>
    </row>
    <row r="54" spans="1:9" ht="21" customHeight="1">
      <c r="A54" s="7" t="s">
        <v>45</v>
      </c>
      <c r="B54" s="7" t="s">
        <v>157</v>
      </c>
      <c r="C54" s="7" t="s">
        <v>158</v>
      </c>
      <c r="D54" s="7" t="s">
        <v>61</v>
      </c>
      <c r="E54" s="9">
        <v>37</v>
      </c>
      <c r="F54" s="9">
        <v>0</v>
      </c>
      <c r="G54" s="9">
        <v>0</v>
      </c>
      <c r="H54" s="11">
        <v>0</v>
      </c>
      <c r="I54" s="7" t="s">
        <v>157</v>
      </c>
    </row>
    <row r="55" spans="1:9" ht="21" customHeight="1">
      <c r="A55" s="7" t="s">
        <v>45</v>
      </c>
      <c r="B55" s="7" t="s">
        <v>159</v>
      </c>
      <c r="C55" s="7" t="s">
        <v>159</v>
      </c>
      <c r="D55" s="7" t="s">
        <v>61</v>
      </c>
      <c r="E55" s="9">
        <v>68</v>
      </c>
      <c r="F55" s="9">
        <v>0</v>
      </c>
      <c r="G55" s="9">
        <v>0</v>
      </c>
      <c r="H55" s="11">
        <v>0</v>
      </c>
      <c r="I55" s="7" t="s">
        <v>159</v>
      </c>
    </row>
    <row r="56" spans="1:9" ht="21" customHeight="1">
      <c r="A56" s="7" t="s">
        <v>45</v>
      </c>
      <c r="B56" s="7" t="s">
        <v>160</v>
      </c>
      <c r="C56" s="7" t="s">
        <v>161</v>
      </c>
      <c r="D56" s="7" t="s">
        <v>61</v>
      </c>
      <c r="E56" s="9">
        <v>397</v>
      </c>
      <c r="F56" s="9">
        <v>0</v>
      </c>
      <c r="G56" s="9">
        <v>0</v>
      </c>
      <c r="H56" s="11">
        <v>0</v>
      </c>
      <c r="I56" s="7" t="s">
        <v>160</v>
      </c>
    </row>
    <row r="57" spans="1:9" ht="21" customHeight="1">
      <c r="A57" s="7" t="s">
        <v>45</v>
      </c>
      <c r="B57" s="7" t="s">
        <v>162</v>
      </c>
      <c r="C57" s="7" t="s">
        <v>163</v>
      </c>
      <c r="D57" s="7" t="s">
        <v>61</v>
      </c>
      <c r="E57" s="9">
        <v>287</v>
      </c>
      <c r="F57" s="9">
        <v>0</v>
      </c>
      <c r="G57" s="9">
        <v>0</v>
      </c>
      <c r="H57" s="11">
        <v>0</v>
      </c>
      <c r="I57" s="7" t="s">
        <v>162</v>
      </c>
    </row>
    <row r="58" spans="1:9" ht="21" customHeight="1">
      <c r="A58" s="7" t="s">
        <v>45</v>
      </c>
      <c r="B58" s="7" t="s">
        <v>164</v>
      </c>
      <c r="C58" s="7" t="s">
        <v>165</v>
      </c>
      <c r="D58" s="7" t="s">
        <v>61</v>
      </c>
      <c r="E58" s="9">
        <v>32</v>
      </c>
      <c r="F58" s="9">
        <v>0</v>
      </c>
      <c r="G58" s="9">
        <v>0</v>
      </c>
      <c r="H58" s="11">
        <v>0</v>
      </c>
      <c r="I58" s="7" t="s">
        <v>164</v>
      </c>
    </row>
    <row r="59" spans="1:9" ht="21" customHeight="1">
      <c r="A59" s="7" t="s">
        <v>45</v>
      </c>
      <c r="B59" s="7" t="s">
        <v>166</v>
      </c>
      <c r="C59" s="7" t="s">
        <v>167</v>
      </c>
      <c r="D59" s="7" t="s">
        <v>61</v>
      </c>
      <c r="E59" s="9">
        <v>170</v>
      </c>
      <c r="F59" s="9">
        <v>11</v>
      </c>
      <c r="G59" s="9">
        <v>0</v>
      </c>
      <c r="H59" s="11">
        <v>0</v>
      </c>
      <c r="I59" s="7" t="s">
        <v>166</v>
      </c>
    </row>
    <row r="60" spans="1:9" ht="21" customHeight="1">
      <c r="A60" s="7" t="s">
        <v>45</v>
      </c>
      <c r="B60" s="7" t="s">
        <v>168</v>
      </c>
      <c r="C60" s="7" t="s">
        <v>169</v>
      </c>
      <c r="D60" s="7" t="s">
        <v>151</v>
      </c>
      <c r="E60" s="9">
        <v>19</v>
      </c>
      <c r="F60" s="9">
        <v>0</v>
      </c>
      <c r="G60" s="9">
        <v>0</v>
      </c>
      <c r="H60" s="11">
        <v>0</v>
      </c>
      <c r="I60" s="7" t="s">
        <v>170</v>
      </c>
    </row>
    <row r="61" spans="1:9" ht="21" customHeight="1">
      <c r="A61" s="7" t="s">
        <v>46</v>
      </c>
      <c r="B61" s="7" t="s">
        <v>171</v>
      </c>
      <c r="C61" s="7" t="s">
        <v>172</v>
      </c>
      <c r="D61" s="7" t="s">
        <v>61</v>
      </c>
      <c r="E61" s="9">
        <v>8084</v>
      </c>
      <c r="F61" s="9">
        <v>290</v>
      </c>
      <c r="G61" s="9">
        <v>35</v>
      </c>
      <c r="H61" s="11">
        <v>20229.020064</v>
      </c>
      <c r="I61" s="7" t="s">
        <v>171</v>
      </c>
    </row>
    <row r="62" spans="1:9" ht="21" customHeight="1">
      <c r="A62" s="7" t="s">
        <v>46</v>
      </c>
      <c r="B62" s="7" t="s">
        <v>173</v>
      </c>
      <c r="C62" s="7" t="s">
        <v>174</v>
      </c>
      <c r="D62" s="7" t="s">
        <v>61</v>
      </c>
      <c r="E62" s="9">
        <v>571</v>
      </c>
      <c r="F62" s="9">
        <v>11</v>
      </c>
      <c r="G62" s="9">
        <v>1</v>
      </c>
      <c r="H62" s="11">
        <v>1550</v>
      </c>
      <c r="I62" s="7" t="s">
        <v>173</v>
      </c>
    </row>
    <row r="63" spans="1:9" ht="21" customHeight="1">
      <c r="A63" s="7" t="s">
        <v>46</v>
      </c>
      <c r="B63" s="7" t="s">
        <v>175</v>
      </c>
      <c r="C63" s="7" t="s">
        <v>176</v>
      </c>
      <c r="D63" s="7" t="s">
        <v>61</v>
      </c>
      <c r="E63" s="9">
        <v>871</v>
      </c>
      <c r="F63" s="9">
        <v>26</v>
      </c>
      <c r="G63" s="9">
        <v>2</v>
      </c>
      <c r="H63" s="11">
        <v>1000.000001</v>
      </c>
      <c r="I63" s="7" t="s">
        <v>175</v>
      </c>
    </row>
    <row r="64" spans="1:9" ht="21" customHeight="1">
      <c r="A64" s="7" t="s">
        <v>46</v>
      </c>
      <c r="B64" s="7" t="s">
        <v>177</v>
      </c>
      <c r="C64" s="7" t="s">
        <v>178</v>
      </c>
      <c r="D64" s="7" t="s">
        <v>61</v>
      </c>
      <c r="E64" s="9">
        <v>271</v>
      </c>
      <c r="F64" s="9">
        <v>19</v>
      </c>
      <c r="G64" s="9">
        <v>5</v>
      </c>
      <c r="H64" s="11">
        <v>599.999999</v>
      </c>
      <c r="I64" s="7" t="s">
        <v>177</v>
      </c>
    </row>
    <row r="65" spans="1:9" ht="21" customHeight="1">
      <c r="A65" s="7" t="s">
        <v>47</v>
      </c>
      <c r="B65" s="7" t="s">
        <v>179</v>
      </c>
      <c r="C65" s="7" t="s">
        <v>180</v>
      </c>
      <c r="D65" s="7" t="s">
        <v>181</v>
      </c>
      <c r="E65" s="9">
        <v>925</v>
      </c>
      <c r="F65" s="9">
        <v>68</v>
      </c>
      <c r="G65" s="9">
        <v>5</v>
      </c>
      <c r="H65" s="11">
        <v>1564.4717230000001</v>
      </c>
      <c r="I65" s="7" t="s">
        <v>179</v>
      </c>
    </row>
    <row r="66" spans="1:9" ht="21" customHeight="1">
      <c r="A66" s="7" t="s">
        <v>47</v>
      </c>
      <c r="B66" s="7" t="s">
        <v>182</v>
      </c>
      <c r="C66" s="7" t="s">
        <v>183</v>
      </c>
      <c r="D66" s="7" t="s">
        <v>181</v>
      </c>
      <c r="E66" s="9">
        <v>957</v>
      </c>
      <c r="F66" s="9">
        <v>39</v>
      </c>
      <c r="G66" s="9">
        <v>2</v>
      </c>
      <c r="H66" s="11">
        <v>1417.4999969999999</v>
      </c>
      <c r="I66" s="7" t="s">
        <v>182</v>
      </c>
    </row>
    <row r="67" spans="1:9" ht="21" customHeight="1">
      <c r="A67" s="7" t="s">
        <v>47</v>
      </c>
      <c r="B67" s="7" t="s">
        <v>184</v>
      </c>
      <c r="C67" s="7" t="s">
        <v>185</v>
      </c>
      <c r="D67" s="7" t="s">
        <v>181</v>
      </c>
      <c r="E67" s="9">
        <v>789</v>
      </c>
      <c r="F67" s="9">
        <v>49</v>
      </c>
      <c r="G67" s="9">
        <v>2</v>
      </c>
      <c r="H67" s="11">
        <v>1290.0000010000001</v>
      </c>
      <c r="I67" s="7" t="s">
        <v>184</v>
      </c>
    </row>
    <row r="68" spans="1:9" ht="21" customHeight="1">
      <c r="A68" s="7" t="s">
        <v>47</v>
      </c>
      <c r="B68" s="7" t="s">
        <v>186</v>
      </c>
      <c r="C68" s="7" t="s">
        <v>187</v>
      </c>
      <c r="D68" s="7" t="s">
        <v>181</v>
      </c>
      <c r="E68" s="9">
        <v>262</v>
      </c>
      <c r="F68" s="9">
        <v>13</v>
      </c>
      <c r="G68" s="9">
        <v>4</v>
      </c>
      <c r="H68" s="11">
        <v>770.00000299999999</v>
      </c>
      <c r="I68" s="7" t="s">
        <v>186</v>
      </c>
    </row>
    <row r="69" spans="1:9" ht="21" customHeight="1">
      <c r="A69" s="7" t="s">
        <v>47</v>
      </c>
      <c r="B69" s="7" t="s">
        <v>188</v>
      </c>
      <c r="C69" s="7" t="s">
        <v>189</v>
      </c>
      <c r="D69" s="7" t="s">
        <v>181</v>
      </c>
      <c r="E69" s="9">
        <v>774</v>
      </c>
      <c r="F69" s="9">
        <v>39</v>
      </c>
      <c r="G69" s="9">
        <v>1</v>
      </c>
      <c r="H69" s="11">
        <v>644.999999</v>
      </c>
      <c r="I69" s="7" t="s">
        <v>188</v>
      </c>
    </row>
    <row r="70" spans="1:9" ht="21" customHeight="1">
      <c r="A70" s="7" t="s">
        <v>47</v>
      </c>
      <c r="B70" s="7" t="s">
        <v>190</v>
      </c>
      <c r="C70" s="7" t="s">
        <v>191</v>
      </c>
      <c r="D70" s="7" t="s">
        <v>181</v>
      </c>
      <c r="E70" s="9">
        <v>258</v>
      </c>
      <c r="F70" s="9">
        <v>5</v>
      </c>
      <c r="G70" s="9">
        <v>0</v>
      </c>
      <c r="H70" s="11">
        <v>0</v>
      </c>
      <c r="I70" s="7" t="s">
        <v>190</v>
      </c>
    </row>
    <row r="71" spans="1:9" ht="21" customHeight="1">
      <c r="A71" s="7" t="s">
        <v>47</v>
      </c>
      <c r="B71" s="7" t="s">
        <v>192</v>
      </c>
      <c r="C71" s="7" t="s">
        <v>193</v>
      </c>
      <c r="D71" s="7" t="s">
        <v>181</v>
      </c>
      <c r="E71" s="9">
        <v>389</v>
      </c>
      <c r="F71" s="9">
        <v>14</v>
      </c>
      <c r="G71" s="9">
        <v>0</v>
      </c>
      <c r="H71" s="11">
        <v>0</v>
      </c>
      <c r="I71" s="7" t="s">
        <v>192</v>
      </c>
    </row>
    <row r="72" spans="1:9" ht="21" customHeight="1">
      <c r="A72" s="7" t="s">
        <v>47</v>
      </c>
      <c r="B72" s="7" t="s">
        <v>194</v>
      </c>
      <c r="C72" s="7" t="s">
        <v>195</v>
      </c>
      <c r="D72" s="7" t="s">
        <v>181</v>
      </c>
      <c r="E72" s="9">
        <v>467</v>
      </c>
      <c r="F72" s="9">
        <v>8</v>
      </c>
      <c r="G72" s="9">
        <v>0</v>
      </c>
      <c r="H72" s="11">
        <v>0</v>
      </c>
      <c r="I72" s="7" t="s">
        <v>194</v>
      </c>
    </row>
    <row r="73" spans="1:9" ht="21" customHeight="1">
      <c r="A73" s="7" t="s">
        <v>47</v>
      </c>
      <c r="B73" s="7" t="s">
        <v>196</v>
      </c>
      <c r="C73" s="7" t="s">
        <v>197</v>
      </c>
      <c r="D73" s="7" t="s">
        <v>181</v>
      </c>
      <c r="E73" s="9">
        <v>695</v>
      </c>
      <c r="F73" s="9">
        <v>49</v>
      </c>
      <c r="G73" s="9">
        <v>0</v>
      </c>
      <c r="H73" s="11">
        <v>0</v>
      </c>
      <c r="I73" s="7" t="s">
        <v>196</v>
      </c>
    </row>
    <row r="74" spans="1:9" ht="21" customHeight="1">
      <c r="A74" s="7" t="s">
        <v>47</v>
      </c>
      <c r="B74" s="7" t="s">
        <v>198</v>
      </c>
      <c r="C74" s="7" t="s">
        <v>199</v>
      </c>
      <c r="D74" s="7" t="s">
        <v>181</v>
      </c>
      <c r="E74" s="9">
        <v>615</v>
      </c>
      <c r="F74" s="9">
        <v>25</v>
      </c>
      <c r="G74" s="9">
        <v>0</v>
      </c>
      <c r="H74" s="11">
        <v>0</v>
      </c>
      <c r="I74" s="7" t="s">
        <v>198</v>
      </c>
    </row>
    <row r="75" spans="1:9" ht="21" customHeight="1">
      <c r="A75" s="7" t="s">
        <v>47</v>
      </c>
      <c r="B75" s="7" t="s">
        <v>200</v>
      </c>
      <c r="C75" s="7" t="s">
        <v>201</v>
      </c>
      <c r="D75" s="7" t="s">
        <v>181</v>
      </c>
      <c r="E75" s="9">
        <v>588</v>
      </c>
      <c r="F75" s="9">
        <v>31</v>
      </c>
      <c r="G75" s="9">
        <v>0</v>
      </c>
      <c r="H75" s="11">
        <v>0</v>
      </c>
      <c r="I75" s="7" t="s">
        <v>200</v>
      </c>
    </row>
    <row r="76" spans="1:9" ht="21" customHeight="1">
      <c r="A76" s="7" t="s">
        <v>47</v>
      </c>
      <c r="B76" s="7" t="s">
        <v>202</v>
      </c>
      <c r="C76" s="7" t="s">
        <v>203</v>
      </c>
      <c r="D76" s="7" t="s">
        <v>181</v>
      </c>
      <c r="E76" s="9">
        <v>563</v>
      </c>
      <c r="F76" s="9">
        <v>22</v>
      </c>
      <c r="G76" s="9">
        <v>0</v>
      </c>
      <c r="H76" s="11">
        <v>0</v>
      </c>
      <c r="I76" s="7" t="s">
        <v>202</v>
      </c>
    </row>
    <row r="77" spans="1:9" ht="21" customHeight="1">
      <c r="A77" s="7" t="s">
        <v>47</v>
      </c>
      <c r="B77" s="7" t="s">
        <v>204</v>
      </c>
      <c r="C77" s="7" t="s">
        <v>205</v>
      </c>
      <c r="D77" s="7" t="s">
        <v>181</v>
      </c>
      <c r="E77" s="9">
        <v>317</v>
      </c>
      <c r="F77" s="9">
        <v>14</v>
      </c>
      <c r="G77" s="9">
        <v>0</v>
      </c>
      <c r="H77" s="11">
        <v>0</v>
      </c>
      <c r="I77" s="7" t="s">
        <v>204</v>
      </c>
    </row>
    <row r="78" spans="1:9" ht="21" customHeight="1">
      <c r="A78" s="7" t="s">
        <v>47</v>
      </c>
      <c r="B78" s="7" t="s">
        <v>206</v>
      </c>
      <c r="C78" s="7" t="s">
        <v>207</v>
      </c>
      <c r="D78" s="7" t="s">
        <v>181</v>
      </c>
      <c r="E78" s="9">
        <v>296</v>
      </c>
      <c r="F78" s="9">
        <v>12</v>
      </c>
      <c r="G78" s="9">
        <v>0</v>
      </c>
      <c r="H78" s="11">
        <v>0</v>
      </c>
      <c r="I78" s="7" t="s">
        <v>206</v>
      </c>
    </row>
    <row r="79" spans="1:9" ht="21" customHeight="1">
      <c r="A79" s="7" t="s">
        <v>48</v>
      </c>
      <c r="B79" s="7" t="s">
        <v>208</v>
      </c>
      <c r="C79" s="7" t="s">
        <v>209</v>
      </c>
      <c r="D79" s="7" t="s">
        <v>210</v>
      </c>
      <c r="E79" s="9">
        <v>143</v>
      </c>
      <c r="F79" s="9">
        <v>0</v>
      </c>
      <c r="G79" s="9">
        <v>0</v>
      </c>
      <c r="H79" s="11">
        <v>0</v>
      </c>
      <c r="I79" s="7" t="s">
        <v>208</v>
      </c>
    </row>
    <row r="80" spans="1:9" ht="21" customHeight="1">
      <c r="A80" s="7" t="s">
        <v>48</v>
      </c>
      <c r="B80" s="7" t="s">
        <v>211</v>
      </c>
      <c r="C80" s="7" t="s">
        <v>212</v>
      </c>
      <c r="D80" s="7" t="s">
        <v>213</v>
      </c>
      <c r="E80" s="9">
        <v>183</v>
      </c>
      <c r="F80" s="9">
        <v>1</v>
      </c>
      <c r="G80" s="9">
        <v>0</v>
      </c>
      <c r="H80" s="11">
        <v>0</v>
      </c>
      <c r="I80" s="7" t="s">
        <v>211</v>
      </c>
    </row>
    <row r="81" spans="1:9" ht="21" customHeight="1">
      <c r="A81" s="7" t="s">
        <v>48</v>
      </c>
      <c r="B81" s="7" t="s">
        <v>214</v>
      </c>
      <c r="C81" s="7" t="s">
        <v>215</v>
      </c>
      <c r="D81" s="7" t="s">
        <v>213</v>
      </c>
      <c r="E81" s="9">
        <v>4</v>
      </c>
      <c r="F81" s="9">
        <v>0</v>
      </c>
      <c r="G81" s="9">
        <v>0</v>
      </c>
      <c r="H81" s="11">
        <v>0</v>
      </c>
      <c r="I81" s="7" t="s">
        <v>214</v>
      </c>
    </row>
    <row r="82" spans="1:9" ht="21" customHeight="1">
      <c r="A82" s="7" t="s">
        <v>48</v>
      </c>
      <c r="B82" s="7" t="s">
        <v>216</v>
      </c>
      <c r="C82" s="7" t="s">
        <v>217</v>
      </c>
      <c r="D82" s="7" t="s">
        <v>61</v>
      </c>
      <c r="E82" s="9">
        <v>202</v>
      </c>
      <c r="F82" s="9">
        <v>2</v>
      </c>
      <c r="G82" s="9">
        <v>0</v>
      </c>
      <c r="H82" s="11">
        <v>0</v>
      </c>
      <c r="I82" s="7" t="s">
        <v>216</v>
      </c>
    </row>
    <row r="83" spans="1:9" ht="21" customHeight="1">
      <c r="A83" s="7" t="s">
        <v>48</v>
      </c>
      <c r="B83" s="7" t="s">
        <v>218</v>
      </c>
      <c r="C83" s="7" t="s">
        <v>219</v>
      </c>
      <c r="D83" s="7" t="s">
        <v>213</v>
      </c>
      <c r="E83" s="9">
        <v>2</v>
      </c>
      <c r="F83" s="9">
        <v>0</v>
      </c>
      <c r="G83" s="9">
        <v>0</v>
      </c>
      <c r="H83" s="11">
        <v>0</v>
      </c>
      <c r="I83" s="7" t="s">
        <v>218</v>
      </c>
    </row>
    <row r="84" spans="1:9" ht="21" customHeight="1">
      <c r="A84" s="7" t="s">
        <v>48</v>
      </c>
      <c r="B84" s="7" t="s">
        <v>220</v>
      </c>
      <c r="C84" s="7" t="s">
        <v>221</v>
      </c>
      <c r="D84" s="7" t="s">
        <v>210</v>
      </c>
      <c r="E84" s="9">
        <v>70</v>
      </c>
      <c r="F84" s="9">
        <v>0</v>
      </c>
      <c r="G84" s="9">
        <v>0</v>
      </c>
      <c r="H84" s="11">
        <v>0</v>
      </c>
      <c r="I84" s="7" t="s">
        <v>220</v>
      </c>
    </row>
    <row r="85" spans="1:9" ht="21" customHeight="1">
      <c r="A85" s="7" t="s">
        <v>48</v>
      </c>
      <c r="B85" s="7" t="s">
        <v>222</v>
      </c>
      <c r="C85" s="7" t="s">
        <v>223</v>
      </c>
      <c r="D85" s="7" t="s">
        <v>210</v>
      </c>
      <c r="E85" s="9">
        <v>185</v>
      </c>
      <c r="F85" s="9">
        <v>3</v>
      </c>
      <c r="G85" s="9">
        <v>0</v>
      </c>
      <c r="H85" s="11">
        <v>0</v>
      </c>
      <c r="I85" s="7" t="s">
        <v>222</v>
      </c>
    </row>
    <row r="86" spans="1:9" ht="21" customHeight="1">
      <c r="A86" s="7" t="s">
        <v>48</v>
      </c>
      <c r="B86" s="7" t="s">
        <v>224</v>
      </c>
      <c r="C86" s="7" t="s">
        <v>225</v>
      </c>
      <c r="D86" s="7" t="s">
        <v>213</v>
      </c>
      <c r="E86" s="9">
        <v>42</v>
      </c>
      <c r="F86" s="9">
        <v>0</v>
      </c>
      <c r="G86" s="9">
        <v>0</v>
      </c>
      <c r="H86" s="11">
        <v>0</v>
      </c>
      <c r="I86" s="7" t="s">
        <v>224</v>
      </c>
    </row>
    <row r="87" spans="1:9" ht="21" customHeight="1">
      <c r="A87" s="7" t="s">
        <v>48</v>
      </c>
      <c r="B87" s="7" t="s">
        <v>226</v>
      </c>
      <c r="C87" s="7" t="s">
        <v>227</v>
      </c>
      <c r="D87" s="7" t="s">
        <v>210</v>
      </c>
      <c r="E87" s="9">
        <v>185</v>
      </c>
      <c r="F87" s="9">
        <v>0</v>
      </c>
      <c r="G87" s="9">
        <v>0</v>
      </c>
      <c r="H87" s="11">
        <v>0</v>
      </c>
      <c r="I87" s="7" t="s">
        <v>226</v>
      </c>
    </row>
    <row r="88" spans="1:9" ht="21" customHeight="1">
      <c r="A88" s="7" t="s">
        <v>48</v>
      </c>
      <c r="B88" s="7" t="s">
        <v>228</v>
      </c>
      <c r="C88" s="7" t="s">
        <v>229</v>
      </c>
      <c r="D88" s="7" t="s">
        <v>210</v>
      </c>
      <c r="E88" s="9">
        <v>82</v>
      </c>
      <c r="F88" s="9">
        <v>1</v>
      </c>
      <c r="G88" s="9">
        <v>0</v>
      </c>
      <c r="H88" s="11">
        <v>0</v>
      </c>
      <c r="I88" s="7" t="s">
        <v>228</v>
      </c>
    </row>
    <row r="89" spans="1:9" ht="21" customHeight="1">
      <c r="A89" s="7" t="s">
        <v>48</v>
      </c>
      <c r="B89" s="7" t="s">
        <v>230</v>
      </c>
      <c r="C89" s="7" t="s">
        <v>231</v>
      </c>
      <c r="D89" s="7" t="s">
        <v>61</v>
      </c>
      <c r="E89" s="9">
        <v>1822</v>
      </c>
      <c r="F89" s="9">
        <v>31</v>
      </c>
      <c r="G89" s="9">
        <v>0</v>
      </c>
      <c r="H89" s="11">
        <v>0</v>
      </c>
      <c r="I89" s="7" t="s">
        <v>230</v>
      </c>
    </row>
    <row r="90" spans="1:9" ht="21" customHeight="1">
      <c r="A90" s="7" t="s">
        <v>48</v>
      </c>
      <c r="B90" s="7" t="s">
        <v>232</v>
      </c>
      <c r="C90" s="7" t="s">
        <v>233</v>
      </c>
      <c r="D90" s="7" t="s">
        <v>61</v>
      </c>
      <c r="E90" s="9">
        <v>912</v>
      </c>
      <c r="F90" s="9">
        <v>22</v>
      </c>
      <c r="G90" s="9">
        <v>0</v>
      </c>
      <c r="H90" s="11">
        <v>0</v>
      </c>
      <c r="I90" s="7" t="s">
        <v>232</v>
      </c>
    </row>
    <row r="91" spans="1:9" ht="21" customHeight="1">
      <c r="A91" s="7" t="s">
        <v>48</v>
      </c>
      <c r="B91" s="7" t="s">
        <v>234</v>
      </c>
      <c r="C91" s="7" t="s">
        <v>235</v>
      </c>
      <c r="D91" s="7" t="s">
        <v>61</v>
      </c>
      <c r="E91" s="9">
        <v>21</v>
      </c>
      <c r="F91" s="9">
        <v>0</v>
      </c>
      <c r="G91" s="9">
        <v>0</v>
      </c>
      <c r="H91" s="11">
        <v>0</v>
      </c>
      <c r="I91" s="7" t="s">
        <v>234</v>
      </c>
    </row>
    <row r="92" spans="1:9" ht="21" customHeight="1">
      <c r="A92" s="7" t="s">
        <v>48</v>
      </c>
      <c r="B92" s="7" t="s">
        <v>236</v>
      </c>
      <c r="C92" s="7" t="s">
        <v>237</v>
      </c>
      <c r="D92" s="7" t="s">
        <v>213</v>
      </c>
      <c r="E92" s="9">
        <v>1</v>
      </c>
      <c r="F92" s="9">
        <v>0</v>
      </c>
      <c r="G92" s="9">
        <v>0</v>
      </c>
      <c r="H92" s="11">
        <v>0</v>
      </c>
      <c r="I92" s="7" t="s">
        <v>236</v>
      </c>
    </row>
    <row r="93" spans="1:9" ht="21" customHeight="1">
      <c r="A93" s="7" t="s">
        <v>48</v>
      </c>
      <c r="B93" s="7" t="s">
        <v>238</v>
      </c>
      <c r="C93" s="7" t="s">
        <v>239</v>
      </c>
      <c r="D93" s="7" t="s">
        <v>61</v>
      </c>
      <c r="E93" s="9">
        <v>321</v>
      </c>
      <c r="F93" s="9">
        <v>1</v>
      </c>
      <c r="G93" s="9">
        <v>0</v>
      </c>
      <c r="H93" s="11">
        <v>0</v>
      </c>
      <c r="I93" s="7" t="s">
        <v>238</v>
      </c>
    </row>
    <row r="94" spans="1:9" ht="21" customHeight="1">
      <c r="A94" s="7" t="s">
        <v>49</v>
      </c>
      <c r="B94" s="7" t="s">
        <v>240</v>
      </c>
      <c r="C94" s="7" t="s">
        <v>241</v>
      </c>
      <c r="D94" s="7" t="s">
        <v>242</v>
      </c>
      <c r="E94" s="9">
        <v>1</v>
      </c>
      <c r="F94" s="9">
        <v>0</v>
      </c>
      <c r="G94" s="9">
        <v>0</v>
      </c>
      <c r="H94" s="11">
        <v>0</v>
      </c>
      <c r="I94" s="7" t="s">
        <v>240</v>
      </c>
    </row>
    <row r="95" spans="1:9" ht="21" customHeight="1">
      <c r="A95" s="7" t="s">
        <v>49</v>
      </c>
      <c r="B95" s="7" t="s">
        <v>243</v>
      </c>
      <c r="C95" s="7" t="s">
        <v>244</v>
      </c>
      <c r="D95" s="7" t="s">
        <v>242</v>
      </c>
      <c r="E95" s="9">
        <v>2</v>
      </c>
      <c r="F95" s="9">
        <v>0</v>
      </c>
      <c r="G95" s="9">
        <v>0</v>
      </c>
      <c r="H95" s="11">
        <v>0</v>
      </c>
      <c r="I95" s="7" t="s">
        <v>243</v>
      </c>
    </row>
    <row r="96" spans="1:9" ht="21" customHeight="1">
      <c r="A96" s="7" t="s">
        <v>49</v>
      </c>
      <c r="B96" s="7" t="s">
        <v>245</v>
      </c>
      <c r="C96" s="7" t="s">
        <v>246</v>
      </c>
      <c r="D96" s="7" t="s">
        <v>61</v>
      </c>
      <c r="E96" s="9">
        <v>2</v>
      </c>
      <c r="F96" s="9">
        <v>0</v>
      </c>
      <c r="G96" s="9">
        <v>0</v>
      </c>
      <c r="H96" s="11">
        <v>0</v>
      </c>
      <c r="I96" s="7" t="s">
        <v>245</v>
      </c>
    </row>
    <row r="97" spans="1:9" ht="21" customHeight="1">
      <c r="A97" s="7" t="s">
        <v>49</v>
      </c>
      <c r="B97" s="7" t="s">
        <v>247</v>
      </c>
      <c r="C97" s="7" t="s">
        <v>248</v>
      </c>
      <c r="D97" s="7" t="s">
        <v>61</v>
      </c>
      <c r="E97" s="9">
        <v>58</v>
      </c>
      <c r="F97" s="9">
        <v>4</v>
      </c>
      <c r="G97" s="9">
        <v>0</v>
      </c>
      <c r="H97" s="11">
        <v>0</v>
      </c>
      <c r="I97" s="7" t="s">
        <v>247</v>
      </c>
    </row>
    <row r="98" spans="1:9" ht="21" customHeight="1">
      <c r="A98" s="7" t="s">
        <v>50</v>
      </c>
      <c r="B98" s="7" t="s">
        <v>249</v>
      </c>
      <c r="C98" s="7" t="s">
        <v>249</v>
      </c>
      <c r="D98" s="7" t="s">
        <v>250</v>
      </c>
      <c r="E98" s="9">
        <v>4368</v>
      </c>
      <c r="F98" s="9">
        <v>0</v>
      </c>
      <c r="G98" s="9">
        <v>0</v>
      </c>
      <c r="H98" s="11">
        <v>0</v>
      </c>
      <c r="I98" s="7" t="s">
        <v>249</v>
      </c>
    </row>
    <row r="99" spans="1:9" ht="21" customHeight="1">
      <c r="A99" s="7" t="s">
        <v>50</v>
      </c>
      <c r="B99" s="7" t="s">
        <v>251</v>
      </c>
      <c r="C99" s="7" t="s">
        <v>252</v>
      </c>
      <c r="D99" s="7" t="s">
        <v>250</v>
      </c>
      <c r="E99" s="9">
        <v>29165</v>
      </c>
      <c r="F99" s="9">
        <v>2</v>
      </c>
      <c r="G99" s="9">
        <v>0</v>
      </c>
      <c r="H99" s="11">
        <v>0</v>
      </c>
      <c r="I99" s="7" t="s">
        <v>251</v>
      </c>
    </row>
    <row r="100" spans="1:9" ht="21" customHeight="1">
      <c r="A100" s="7" t="s">
        <v>50</v>
      </c>
      <c r="B100" s="7" t="s">
        <v>253</v>
      </c>
      <c r="C100" s="7" t="s">
        <v>254</v>
      </c>
      <c r="D100" s="7" t="s">
        <v>250</v>
      </c>
      <c r="E100" s="9">
        <v>0</v>
      </c>
      <c r="F100" s="9">
        <v>1</v>
      </c>
      <c r="G100" s="9">
        <v>0</v>
      </c>
      <c r="H100" s="11">
        <v>0</v>
      </c>
      <c r="I100" s="7" t="s">
        <v>253</v>
      </c>
    </row>
    <row r="101" spans="1:9" ht="21" customHeight="1">
      <c r="A101" s="7" t="s">
        <v>50</v>
      </c>
      <c r="B101" s="7" t="s">
        <v>255</v>
      </c>
      <c r="C101" s="7" t="s">
        <v>256</v>
      </c>
      <c r="D101" s="7" t="s">
        <v>250</v>
      </c>
      <c r="E101" s="9">
        <v>27</v>
      </c>
      <c r="F101" s="9">
        <v>0</v>
      </c>
      <c r="G101" s="9">
        <v>7</v>
      </c>
      <c r="H101" s="11">
        <v>0</v>
      </c>
      <c r="I101" s="7" t="s">
        <v>255</v>
      </c>
    </row>
    <row r="102" spans="1:9" ht="21" customHeight="1">
      <c r="A102" s="7" t="s">
        <v>51</v>
      </c>
      <c r="B102" s="7" t="s">
        <v>257</v>
      </c>
      <c r="C102" s="7" t="s">
        <v>258</v>
      </c>
      <c r="D102" s="7" t="s">
        <v>259</v>
      </c>
      <c r="E102" s="9">
        <v>61</v>
      </c>
      <c r="F102" s="9">
        <v>0</v>
      </c>
      <c r="G102" s="9">
        <v>0</v>
      </c>
      <c r="H102" s="11">
        <v>0</v>
      </c>
      <c r="I102" s="7" t="s">
        <v>257</v>
      </c>
    </row>
    <row r="103" spans="1:9" ht="21" customHeight="1">
      <c r="A103" s="7" t="s">
        <v>52</v>
      </c>
      <c r="B103" s="7" t="s">
        <v>260</v>
      </c>
      <c r="C103" s="7" t="s">
        <v>261</v>
      </c>
      <c r="D103" s="7" t="s">
        <v>262</v>
      </c>
      <c r="E103" s="9">
        <v>5799</v>
      </c>
      <c r="F103" s="9">
        <v>264</v>
      </c>
      <c r="G103" s="9">
        <v>0</v>
      </c>
      <c r="H103" s="11">
        <v>0</v>
      </c>
      <c r="I103" s="7" t="s">
        <v>260</v>
      </c>
    </row>
    <row r="104" spans="1:9" ht="21" customHeight="1">
      <c r="A104" s="7" t="s">
        <v>52</v>
      </c>
      <c r="B104" s="7" t="s">
        <v>263</v>
      </c>
      <c r="C104" s="7" t="s">
        <v>264</v>
      </c>
      <c r="D104" s="7" t="s">
        <v>262</v>
      </c>
      <c r="E104" s="9">
        <v>4102</v>
      </c>
      <c r="F104" s="9">
        <v>173</v>
      </c>
      <c r="G104" s="9">
        <v>0</v>
      </c>
      <c r="H104" s="11">
        <v>0</v>
      </c>
      <c r="I104" s="7" t="s">
        <v>263</v>
      </c>
    </row>
    <row r="105" spans="1:9" ht="21" customHeight="1">
      <c r="A105" s="7" t="s">
        <v>52</v>
      </c>
      <c r="B105" s="7" t="s">
        <v>265</v>
      </c>
      <c r="C105" s="7" t="s">
        <v>266</v>
      </c>
      <c r="D105" s="7" t="s">
        <v>262</v>
      </c>
      <c r="E105" s="9">
        <v>234</v>
      </c>
      <c r="F105" s="9">
        <v>12</v>
      </c>
      <c r="G105" s="9">
        <v>0</v>
      </c>
      <c r="H105" s="11">
        <v>0</v>
      </c>
      <c r="I105" s="7" t="s">
        <v>265</v>
      </c>
    </row>
    <row r="106" spans="1:9" ht="21" customHeight="1">
      <c r="A106" s="7" t="s">
        <v>52</v>
      </c>
      <c r="B106" s="7" t="s">
        <v>267</v>
      </c>
      <c r="C106" s="7" t="s">
        <v>267</v>
      </c>
      <c r="D106" s="7" t="s">
        <v>262</v>
      </c>
      <c r="E106" s="9">
        <v>17</v>
      </c>
      <c r="F106" s="9">
        <v>0</v>
      </c>
      <c r="G106" s="9">
        <v>0</v>
      </c>
      <c r="H106" s="11">
        <v>0</v>
      </c>
      <c r="I106" s="7" t="s">
        <v>267</v>
      </c>
    </row>
    <row r="107" spans="1:9" ht="21" customHeight="1">
      <c r="A107" s="7" t="s">
        <v>52</v>
      </c>
      <c r="B107" s="7" t="s">
        <v>268</v>
      </c>
      <c r="C107" s="7" t="s">
        <v>268</v>
      </c>
      <c r="D107" s="7" t="s">
        <v>262</v>
      </c>
      <c r="E107" s="9">
        <v>13</v>
      </c>
      <c r="F107" s="9">
        <v>0</v>
      </c>
      <c r="G107" s="9">
        <v>0</v>
      </c>
      <c r="H107" s="11">
        <v>0</v>
      </c>
      <c r="I107" s="7" t="s">
        <v>268</v>
      </c>
    </row>
    <row r="108" spans="1:9" ht="21" customHeight="1">
      <c r="A108" s="7" t="s">
        <v>52</v>
      </c>
      <c r="B108" s="7" t="s">
        <v>269</v>
      </c>
      <c r="C108" s="7" t="s">
        <v>270</v>
      </c>
      <c r="D108" s="7" t="s">
        <v>262</v>
      </c>
      <c r="E108" s="9">
        <v>103</v>
      </c>
      <c r="F108" s="9">
        <v>0</v>
      </c>
      <c r="G108" s="9">
        <v>0</v>
      </c>
      <c r="H108" s="11">
        <v>0</v>
      </c>
      <c r="I108" s="7" t="s">
        <v>269</v>
      </c>
    </row>
    <row r="109" spans="1:9" ht="21" customHeight="1">
      <c r="A109" s="7" t="s">
        <v>52</v>
      </c>
      <c r="B109" s="7" t="s">
        <v>271</v>
      </c>
      <c r="C109" s="7" t="s">
        <v>272</v>
      </c>
      <c r="D109" s="7" t="s">
        <v>262</v>
      </c>
      <c r="E109" s="9">
        <v>2</v>
      </c>
      <c r="F109" s="9">
        <v>0</v>
      </c>
      <c r="G109" s="9">
        <v>0</v>
      </c>
      <c r="H109" s="11">
        <v>0</v>
      </c>
      <c r="I109" s="7" t="s">
        <v>271</v>
      </c>
    </row>
    <row r="110" spans="1:9" ht="21" customHeight="1">
      <c r="A110" s="7" t="s">
        <v>52</v>
      </c>
      <c r="B110" s="7" t="s">
        <v>273</v>
      </c>
      <c r="C110" s="7" t="s">
        <v>274</v>
      </c>
      <c r="D110" s="7" t="s">
        <v>262</v>
      </c>
      <c r="E110" s="9">
        <v>5033</v>
      </c>
      <c r="F110" s="9">
        <v>94</v>
      </c>
      <c r="G110" s="9">
        <v>0</v>
      </c>
      <c r="H110" s="11">
        <v>0</v>
      </c>
      <c r="I110" s="7" t="s">
        <v>273</v>
      </c>
    </row>
    <row r="111" spans="1:9" ht="21" customHeight="1">
      <c r="A111" s="7" t="s">
        <v>52</v>
      </c>
      <c r="B111" s="7" t="s">
        <v>275</v>
      </c>
      <c r="C111" s="7" t="s">
        <v>276</v>
      </c>
      <c r="D111" s="7" t="s">
        <v>262</v>
      </c>
      <c r="E111" s="9">
        <v>31</v>
      </c>
      <c r="F111" s="9">
        <v>0</v>
      </c>
      <c r="G111" s="9">
        <v>0</v>
      </c>
      <c r="H111" s="11">
        <v>0</v>
      </c>
      <c r="I111" s="7" t="s">
        <v>275</v>
      </c>
    </row>
    <row r="112" spans="1:9" ht="21" customHeight="1">
      <c r="A112" s="7" t="s">
        <v>52</v>
      </c>
      <c r="B112" s="7" t="s">
        <v>277</v>
      </c>
      <c r="C112" s="7" t="s">
        <v>278</v>
      </c>
      <c r="D112" s="7" t="s">
        <v>262</v>
      </c>
      <c r="E112" s="9">
        <v>1005</v>
      </c>
      <c r="F112" s="9">
        <v>16</v>
      </c>
      <c r="G112" s="9">
        <v>0</v>
      </c>
      <c r="H112" s="11">
        <v>0</v>
      </c>
      <c r="I112" s="7" t="s">
        <v>277</v>
      </c>
    </row>
    <row r="113" spans="1:9" ht="21" customHeight="1">
      <c r="A113" s="7" t="s">
        <v>52</v>
      </c>
      <c r="B113" s="7" t="s">
        <v>279</v>
      </c>
      <c r="C113" s="7" t="s">
        <v>279</v>
      </c>
      <c r="D113" s="7" t="s">
        <v>262</v>
      </c>
      <c r="E113" s="9">
        <v>16</v>
      </c>
      <c r="F113" s="9">
        <v>0</v>
      </c>
      <c r="G113" s="9">
        <v>0</v>
      </c>
      <c r="H113" s="11">
        <v>0</v>
      </c>
      <c r="I113" s="7" t="s">
        <v>279</v>
      </c>
    </row>
    <row r="114" spans="1:9" ht="21" customHeight="1">
      <c r="A114" s="7" t="s">
        <v>52</v>
      </c>
      <c r="B114" s="7" t="s">
        <v>280</v>
      </c>
      <c r="C114" s="7" t="s">
        <v>280</v>
      </c>
      <c r="D114" s="7" t="s">
        <v>262</v>
      </c>
      <c r="E114" s="9">
        <v>4</v>
      </c>
      <c r="F114" s="9">
        <v>0</v>
      </c>
      <c r="G114" s="9">
        <v>0</v>
      </c>
      <c r="H114" s="11">
        <v>0</v>
      </c>
      <c r="I114" s="7" t="s">
        <v>280</v>
      </c>
    </row>
    <row r="115" spans="1:9" ht="21" customHeight="1">
      <c r="A115" s="7" t="s">
        <v>52</v>
      </c>
      <c r="B115" s="7" t="s">
        <v>281</v>
      </c>
      <c r="C115" s="7" t="s">
        <v>282</v>
      </c>
      <c r="D115" s="7" t="s">
        <v>262</v>
      </c>
      <c r="E115" s="9">
        <v>157</v>
      </c>
      <c r="F115" s="9">
        <v>0</v>
      </c>
      <c r="G115" s="9">
        <v>0</v>
      </c>
      <c r="H115" s="11">
        <v>0</v>
      </c>
      <c r="I115" s="7" t="s">
        <v>281</v>
      </c>
    </row>
    <row r="116" spans="1:9" ht="21" customHeight="1">
      <c r="A116" s="7" t="s">
        <v>52</v>
      </c>
      <c r="B116" s="7" t="s">
        <v>283</v>
      </c>
      <c r="C116" s="7" t="s">
        <v>284</v>
      </c>
      <c r="D116" s="7" t="s">
        <v>262</v>
      </c>
      <c r="E116" s="9">
        <v>15</v>
      </c>
      <c r="F116" s="9">
        <v>0</v>
      </c>
      <c r="G116" s="9">
        <v>0</v>
      </c>
      <c r="H116" s="11">
        <v>0</v>
      </c>
      <c r="I116" s="7" t="s">
        <v>283</v>
      </c>
    </row>
    <row r="117" spans="1:9" ht="21" customHeight="1">
      <c r="A117" s="7" t="s">
        <v>52</v>
      </c>
      <c r="B117" s="7" t="s">
        <v>285</v>
      </c>
      <c r="C117" s="7" t="s">
        <v>285</v>
      </c>
      <c r="D117" s="7" t="s">
        <v>262</v>
      </c>
      <c r="E117" s="9">
        <v>1</v>
      </c>
      <c r="F117" s="9">
        <v>0</v>
      </c>
      <c r="G117" s="9">
        <v>0</v>
      </c>
      <c r="H117" s="11">
        <v>0</v>
      </c>
      <c r="I117" s="7" t="s">
        <v>285</v>
      </c>
    </row>
    <row r="118" spans="1:9" ht="21" customHeight="1">
      <c r="A118" s="8" t="s">
        <v>52</v>
      </c>
      <c r="B118" s="8" t="s">
        <v>286</v>
      </c>
      <c r="C118" s="8" t="s">
        <v>287</v>
      </c>
      <c r="D118" s="8" t="s">
        <v>262</v>
      </c>
      <c r="E118" s="10">
        <v>34</v>
      </c>
      <c r="F118" s="10">
        <v>0</v>
      </c>
      <c r="G118" s="10">
        <v>0</v>
      </c>
      <c r="H118" s="12">
        <v>0</v>
      </c>
      <c r="I118" s="8" t="s">
        <v>286</v>
      </c>
    </row>
    <row r="120" spans="1:9">
      <c r="A120" s="21" t="s">
        <v>288</v>
      </c>
      <c r="B120" s="22"/>
      <c r="C120" s="22"/>
      <c r="D120" s="22"/>
      <c r="E120" s="13">
        <f>SUM(E6:E118)</f>
        <v>1136425</v>
      </c>
      <c r="F120" s="13">
        <f>SUM(F6:F118)</f>
        <v>51561</v>
      </c>
      <c r="G120" s="13">
        <f>SUM(G6:G118)</f>
        <v>2145</v>
      </c>
      <c r="H120" s="14">
        <f>SUM(H6:H118)</f>
        <v>3119536.9607310011</v>
      </c>
    </row>
  </sheetData>
  <mergeCells count="1">
    <mergeCell ref="A120:D12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A3AF"/>
  </sheetPr>
  <dimension ref="A1:I15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29" customWidth="1"/>
    <col min="2" max="2" width="31" customWidth="1"/>
    <col min="3" max="3" width="48" customWidth="1"/>
    <col min="4" max="4" width="29" customWidth="1"/>
    <col min="5" max="7" width="17" customWidth="1"/>
    <col min="8" max="8" width="20" customWidth="1"/>
    <col min="9" max="9" width="38" customWidth="1"/>
  </cols>
  <sheetData>
    <row r="1" spans="1:9" ht="8" customHeight="1"/>
    <row r="2" spans="1:9" ht="19">
      <c r="A2" s="1" t="s">
        <v>289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290</v>
      </c>
    </row>
    <row r="5" spans="1:9" ht="30" customHeight="1">
      <c r="A5" s="4" t="s">
        <v>35</v>
      </c>
      <c r="B5" s="5" t="s">
        <v>55</v>
      </c>
      <c r="C5" s="5" t="s">
        <v>56</v>
      </c>
      <c r="D5" s="5" t="s">
        <v>57</v>
      </c>
      <c r="E5" s="5" t="s">
        <v>36</v>
      </c>
      <c r="F5" s="5" t="s">
        <v>37</v>
      </c>
      <c r="G5" s="5" t="s">
        <v>38</v>
      </c>
      <c r="H5" s="5" t="s">
        <v>39</v>
      </c>
      <c r="I5" s="6" t="s">
        <v>58</v>
      </c>
    </row>
    <row r="6" spans="1:9" ht="21" customHeight="1">
      <c r="A6" s="7" t="s">
        <v>41</v>
      </c>
      <c r="B6" s="7" t="s">
        <v>59</v>
      </c>
      <c r="C6" s="7" t="s">
        <v>60</v>
      </c>
      <c r="D6" s="7" t="s">
        <v>61</v>
      </c>
      <c r="E6" s="9">
        <v>295423</v>
      </c>
      <c r="F6" s="9">
        <v>26591</v>
      </c>
      <c r="G6" s="9">
        <v>813</v>
      </c>
      <c r="H6" s="11">
        <v>910874.72581799992</v>
      </c>
      <c r="I6" s="7" t="s">
        <v>59</v>
      </c>
    </row>
    <row r="7" spans="1:9" ht="21" customHeight="1">
      <c r="A7" s="7" t="s">
        <v>41</v>
      </c>
      <c r="B7" s="7" t="s">
        <v>62</v>
      </c>
      <c r="C7" s="7" t="s">
        <v>63</v>
      </c>
      <c r="D7" s="7" t="s">
        <v>61</v>
      </c>
      <c r="E7" s="9">
        <v>122736</v>
      </c>
      <c r="F7" s="9">
        <v>7495</v>
      </c>
      <c r="G7" s="9">
        <v>129</v>
      </c>
      <c r="H7" s="11">
        <v>510705.82915500004</v>
      </c>
      <c r="I7" s="7" t="s">
        <v>62</v>
      </c>
    </row>
    <row r="8" spans="1:9" ht="21" customHeight="1">
      <c r="A8" s="7" t="s">
        <v>41</v>
      </c>
      <c r="B8" s="7" t="s">
        <v>68</v>
      </c>
      <c r="C8" s="7" t="s">
        <v>69</v>
      </c>
      <c r="D8" s="7" t="s">
        <v>61</v>
      </c>
      <c r="E8" s="9">
        <v>91355</v>
      </c>
      <c r="F8" s="9">
        <v>5436</v>
      </c>
      <c r="G8" s="9">
        <v>12</v>
      </c>
      <c r="H8" s="11">
        <v>325216.20361199998</v>
      </c>
      <c r="I8" s="7" t="s">
        <v>68</v>
      </c>
    </row>
    <row r="9" spans="1:9" ht="21" customHeight="1">
      <c r="A9" s="7" t="s">
        <v>41</v>
      </c>
      <c r="B9" s="7" t="s">
        <v>66</v>
      </c>
      <c r="C9" s="7" t="s">
        <v>67</v>
      </c>
      <c r="D9" s="7" t="s">
        <v>61</v>
      </c>
      <c r="E9" s="9">
        <v>42351</v>
      </c>
      <c r="F9" s="9">
        <v>3325</v>
      </c>
      <c r="G9" s="9">
        <v>108</v>
      </c>
      <c r="H9" s="11">
        <v>287039.03869299998</v>
      </c>
      <c r="I9" s="7" t="s">
        <v>66</v>
      </c>
    </row>
    <row r="10" spans="1:9" ht="21" customHeight="1">
      <c r="A10" s="7" t="s">
        <v>41</v>
      </c>
      <c r="B10" s="7" t="s">
        <v>64</v>
      </c>
      <c r="C10" s="7" t="s">
        <v>65</v>
      </c>
      <c r="D10" s="7" t="s">
        <v>61</v>
      </c>
      <c r="E10" s="9">
        <v>107873</v>
      </c>
      <c r="F10" s="9">
        <v>8933</v>
      </c>
      <c r="G10" s="9">
        <v>66</v>
      </c>
      <c r="H10" s="11">
        <v>178538.53929399999</v>
      </c>
      <c r="I10" s="7" t="s">
        <v>64</v>
      </c>
    </row>
    <row r="11" spans="1:9" ht="21" customHeight="1">
      <c r="A11" s="7" t="s">
        <v>41</v>
      </c>
      <c r="B11" s="7" t="s">
        <v>72</v>
      </c>
      <c r="C11" s="7" t="s">
        <v>73</v>
      </c>
      <c r="D11" s="7" t="s">
        <v>61</v>
      </c>
      <c r="E11" s="9">
        <v>11007</v>
      </c>
      <c r="F11" s="9">
        <v>681</v>
      </c>
      <c r="G11" s="9">
        <v>13</v>
      </c>
      <c r="H11" s="11">
        <v>30549.999999</v>
      </c>
      <c r="I11" s="7" t="s">
        <v>72</v>
      </c>
    </row>
    <row r="12" spans="1:9" ht="21" customHeight="1">
      <c r="A12" s="7" t="s">
        <v>41</v>
      </c>
      <c r="B12" s="7" t="s">
        <v>70</v>
      </c>
      <c r="C12" s="7" t="s">
        <v>71</v>
      </c>
      <c r="D12" s="7" t="s">
        <v>61</v>
      </c>
      <c r="E12" s="9">
        <v>13984</v>
      </c>
      <c r="F12" s="9">
        <v>875</v>
      </c>
      <c r="G12" s="9">
        <v>20</v>
      </c>
      <c r="H12" s="11">
        <v>27596.5</v>
      </c>
      <c r="I12" s="7" t="s">
        <v>70</v>
      </c>
    </row>
    <row r="13" spans="1:9" ht="21" customHeight="1">
      <c r="A13" s="7" t="s">
        <v>42</v>
      </c>
      <c r="B13" s="7" t="s">
        <v>88</v>
      </c>
      <c r="C13" s="7" t="s">
        <v>291</v>
      </c>
      <c r="D13" s="7" t="s">
        <v>61</v>
      </c>
      <c r="E13" s="9">
        <v>10279</v>
      </c>
      <c r="F13" s="9">
        <v>582</v>
      </c>
      <c r="G13" s="9">
        <v>40</v>
      </c>
      <c r="H13" s="11">
        <v>-156772.87851899999</v>
      </c>
      <c r="I13" s="7" t="s">
        <v>88</v>
      </c>
    </row>
    <row r="14" spans="1:9" ht="21" customHeight="1">
      <c r="A14" s="7" t="s">
        <v>42</v>
      </c>
      <c r="B14" s="7" t="s">
        <v>86</v>
      </c>
      <c r="C14" s="7" t="s">
        <v>87</v>
      </c>
      <c r="D14" s="7" t="s">
        <v>61</v>
      </c>
      <c r="E14" s="9">
        <v>7069</v>
      </c>
      <c r="F14" s="9">
        <v>496</v>
      </c>
      <c r="G14" s="9">
        <v>29</v>
      </c>
      <c r="H14" s="11">
        <v>-42957.399552000003</v>
      </c>
      <c r="I14" s="7" t="s">
        <v>86</v>
      </c>
    </row>
    <row r="15" spans="1:9" ht="21" customHeight="1">
      <c r="A15" s="7" t="s">
        <v>42</v>
      </c>
      <c r="B15" s="7" t="s">
        <v>92</v>
      </c>
      <c r="C15" s="7" t="s">
        <v>292</v>
      </c>
      <c r="D15" s="7" t="s">
        <v>61</v>
      </c>
      <c r="E15" s="9">
        <v>6352</v>
      </c>
      <c r="F15" s="9">
        <v>340</v>
      </c>
      <c r="G15" s="9">
        <v>25</v>
      </c>
      <c r="H15" s="11">
        <v>-41125.193664999999</v>
      </c>
      <c r="I15" s="7" t="s">
        <v>92</v>
      </c>
    </row>
    <row r="16" spans="1:9" ht="21" customHeight="1">
      <c r="A16" s="7" t="s">
        <v>42</v>
      </c>
      <c r="B16" s="7" t="s">
        <v>108</v>
      </c>
      <c r="C16" s="7" t="s">
        <v>293</v>
      </c>
      <c r="D16" s="7" t="s">
        <v>61</v>
      </c>
      <c r="E16" s="9">
        <v>95</v>
      </c>
      <c r="F16" s="9">
        <v>0</v>
      </c>
      <c r="G16" s="9">
        <v>0</v>
      </c>
      <c r="H16" s="11">
        <v>-34687.074084</v>
      </c>
      <c r="I16" s="7" t="s">
        <v>108</v>
      </c>
    </row>
    <row r="17" spans="1:9" ht="21" customHeight="1">
      <c r="A17" s="7" t="s">
        <v>42</v>
      </c>
      <c r="B17" s="7" t="s">
        <v>78</v>
      </c>
      <c r="C17" s="7" t="s">
        <v>79</v>
      </c>
      <c r="D17" s="7" t="s">
        <v>61</v>
      </c>
      <c r="E17" s="9">
        <v>17499</v>
      </c>
      <c r="F17" s="9">
        <v>1345</v>
      </c>
      <c r="G17" s="9">
        <v>130</v>
      </c>
      <c r="H17" s="11">
        <v>-29489.111280000001</v>
      </c>
      <c r="I17" s="7" t="s">
        <v>78</v>
      </c>
    </row>
    <row r="18" spans="1:9" ht="21" customHeight="1">
      <c r="A18" s="7" t="s">
        <v>42</v>
      </c>
      <c r="B18" s="7" t="s">
        <v>96</v>
      </c>
      <c r="C18" s="7" t="s">
        <v>97</v>
      </c>
      <c r="D18" s="7" t="s">
        <v>61</v>
      </c>
      <c r="E18" s="9">
        <v>8201</v>
      </c>
      <c r="F18" s="9">
        <v>487</v>
      </c>
      <c r="G18" s="9">
        <v>11</v>
      </c>
      <c r="H18" s="11">
        <v>29226.000002000001</v>
      </c>
      <c r="I18" s="7" t="s">
        <v>96</v>
      </c>
    </row>
    <row r="19" spans="1:9" ht="21" customHeight="1">
      <c r="A19" s="7" t="s">
        <v>42</v>
      </c>
      <c r="B19" s="7" t="s">
        <v>80</v>
      </c>
      <c r="C19" s="7" t="s">
        <v>81</v>
      </c>
      <c r="D19" s="7" t="s">
        <v>61</v>
      </c>
      <c r="E19" s="9">
        <v>8689</v>
      </c>
      <c r="F19" s="9">
        <v>549</v>
      </c>
      <c r="G19" s="9">
        <v>33</v>
      </c>
      <c r="H19" s="11">
        <v>26548.886783000002</v>
      </c>
      <c r="I19" s="7" t="s">
        <v>80</v>
      </c>
    </row>
    <row r="20" spans="1:9" ht="21" customHeight="1">
      <c r="A20" s="7" t="s">
        <v>42</v>
      </c>
      <c r="B20" s="7" t="s">
        <v>90</v>
      </c>
      <c r="C20" s="7" t="s">
        <v>91</v>
      </c>
      <c r="D20" s="7" t="s">
        <v>61</v>
      </c>
      <c r="E20" s="9">
        <v>9758</v>
      </c>
      <c r="F20" s="9">
        <v>513</v>
      </c>
      <c r="G20" s="9">
        <v>21</v>
      </c>
      <c r="H20" s="11">
        <v>-25361.841036999998</v>
      </c>
      <c r="I20" s="7" t="s">
        <v>90</v>
      </c>
    </row>
    <row r="21" spans="1:9" ht="21" customHeight="1">
      <c r="A21" s="7" t="s">
        <v>42</v>
      </c>
      <c r="B21" s="7" t="s">
        <v>112</v>
      </c>
      <c r="C21" s="7" t="s">
        <v>294</v>
      </c>
      <c r="D21" s="7" t="s">
        <v>61</v>
      </c>
      <c r="E21" s="9">
        <v>127</v>
      </c>
      <c r="F21" s="9">
        <v>0</v>
      </c>
      <c r="G21" s="9">
        <v>0</v>
      </c>
      <c r="H21" s="11">
        <v>-12871.701954</v>
      </c>
      <c r="I21" s="7" t="s">
        <v>112</v>
      </c>
    </row>
    <row r="22" spans="1:9" ht="21" customHeight="1">
      <c r="A22" s="7" t="s">
        <v>42</v>
      </c>
      <c r="B22" s="7" t="s">
        <v>98</v>
      </c>
      <c r="C22" s="7" t="s">
        <v>99</v>
      </c>
      <c r="D22" s="7" t="s">
        <v>61</v>
      </c>
      <c r="E22" s="9">
        <v>1508</v>
      </c>
      <c r="F22" s="9">
        <v>169</v>
      </c>
      <c r="G22" s="9">
        <v>9</v>
      </c>
      <c r="H22" s="11">
        <v>11095</v>
      </c>
      <c r="I22" s="7" t="s">
        <v>98</v>
      </c>
    </row>
    <row r="23" spans="1:9" ht="21" customHeight="1">
      <c r="A23" s="7" t="s">
        <v>42</v>
      </c>
      <c r="B23" s="7" t="s">
        <v>94</v>
      </c>
      <c r="C23" s="7" t="s">
        <v>95</v>
      </c>
      <c r="D23" s="7" t="s">
        <v>61</v>
      </c>
      <c r="E23" s="9">
        <v>4102</v>
      </c>
      <c r="F23" s="9">
        <v>209</v>
      </c>
      <c r="G23" s="9">
        <v>4</v>
      </c>
      <c r="H23" s="11">
        <v>9763.5000070000006</v>
      </c>
      <c r="I23" s="7" t="s">
        <v>94</v>
      </c>
    </row>
    <row r="24" spans="1:9" ht="21" customHeight="1">
      <c r="A24" s="7" t="s">
        <v>42</v>
      </c>
      <c r="B24" s="7" t="s">
        <v>76</v>
      </c>
      <c r="C24" s="7" t="s">
        <v>295</v>
      </c>
      <c r="D24" s="7" t="s">
        <v>61</v>
      </c>
      <c r="E24" s="9">
        <v>22092</v>
      </c>
      <c r="F24" s="9">
        <v>1414</v>
      </c>
      <c r="G24" s="9">
        <v>117</v>
      </c>
      <c r="H24" s="11">
        <v>-9629.7430900000018</v>
      </c>
      <c r="I24" s="7" t="s">
        <v>76</v>
      </c>
    </row>
    <row r="25" spans="1:9" ht="21" customHeight="1">
      <c r="A25" s="7" t="s">
        <v>42</v>
      </c>
      <c r="B25" s="7" t="s">
        <v>106</v>
      </c>
      <c r="C25" s="7" t="s">
        <v>296</v>
      </c>
      <c r="D25" s="7" t="s">
        <v>61</v>
      </c>
      <c r="E25" s="9">
        <v>16</v>
      </c>
      <c r="F25" s="9">
        <v>0</v>
      </c>
      <c r="G25" s="9">
        <v>0</v>
      </c>
      <c r="H25" s="11">
        <v>-9128.4676679999993</v>
      </c>
      <c r="I25" s="7" t="s">
        <v>106</v>
      </c>
    </row>
    <row r="26" spans="1:9" ht="21" customHeight="1">
      <c r="A26" s="7" t="s">
        <v>42</v>
      </c>
      <c r="B26" s="7" t="s">
        <v>84</v>
      </c>
      <c r="C26" s="7" t="s">
        <v>85</v>
      </c>
      <c r="D26" s="7" t="s">
        <v>61</v>
      </c>
      <c r="E26" s="9">
        <v>6184</v>
      </c>
      <c r="F26" s="9">
        <v>354</v>
      </c>
      <c r="G26" s="9">
        <v>0</v>
      </c>
      <c r="H26" s="11">
        <v>-7892.8699989999996</v>
      </c>
      <c r="I26" s="7" t="s">
        <v>84</v>
      </c>
    </row>
    <row r="27" spans="1:9" ht="21" customHeight="1">
      <c r="A27" s="7" t="s">
        <v>42</v>
      </c>
      <c r="B27" s="7" t="s">
        <v>74</v>
      </c>
      <c r="C27" s="7" t="s">
        <v>297</v>
      </c>
      <c r="D27" s="7" t="s">
        <v>61</v>
      </c>
      <c r="E27" s="9">
        <v>18855</v>
      </c>
      <c r="F27" s="9">
        <v>1169</v>
      </c>
      <c r="G27" s="9">
        <v>83</v>
      </c>
      <c r="H27" s="11">
        <v>-5508.3293770000018</v>
      </c>
      <c r="I27" s="7" t="s">
        <v>74</v>
      </c>
    </row>
    <row r="28" spans="1:9" ht="21" customHeight="1">
      <c r="A28" s="7" t="s">
        <v>42</v>
      </c>
      <c r="B28" s="7" t="s">
        <v>102</v>
      </c>
      <c r="C28" s="7" t="s">
        <v>298</v>
      </c>
      <c r="D28" s="7" t="s">
        <v>61</v>
      </c>
      <c r="E28" s="9">
        <v>99</v>
      </c>
      <c r="F28" s="9">
        <v>2</v>
      </c>
      <c r="G28" s="9">
        <v>1</v>
      </c>
      <c r="H28" s="11">
        <v>-5012.4999939999998</v>
      </c>
      <c r="I28" s="7" t="s">
        <v>102</v>
      </c>
    </row>
    <row r="29" spans="1:9" ht="21" customHeight="1">
      <c r="A29" s="7" t="s">
        <v>42</v>
      </c>
      <c r="B29" s="7" t="s">
        <v>100</v>
      </c>
      <c r="C29" s="7" t="s">
        <v>299</v>
      </c>
      <c r="D29" s="7" t="s">
        <v>61</v>
      </c>
      <c r="E29" s="9">
        <v>34</v>
      </c>
      <c r="F29" s="9">
        <v>0</v>
      </c>
      <c r="G29" s="9">
        <v>0</v>
      </c>
      <c r="H29" s="11">
        <v>-4449.0000010000003</v>
      </c>
      <c r="I29" s="7" t="s">
        <v>100</v>
      </c>
    </row>
    <row r="30" spans="1:9" ht="21" customHeight="1">
      <c r="A30" s="7" t="s">
        <v>42</v>
      </c>
      <c r="B30" s="7" t="s">
        <v>82</v>
      </c>
      <c r="C30" s="7" t="s">
        <v>83</v>
      </c>
      <c r="D30" s="7" t="s">
        <v>61</v>
      </c>
      <c r="E30" s="9">
        <v>13747</v>
      </c>
      <c r="F30" s="9">
        <v>1162</v>
      </c>
      <c r="G30" s="9">
        <v>77</v>
      </c>
      <c r="H30" s="11">
        <v>-3613.1853659999997</v>
      </c>
      <c r="I30" s="7" t="s">
        <v>82</v>
      </c>
    </row>
    <row r="31" spans="1:9" ht="21" customHeight="1">
      <c r="A31" s="7" t="s">
        <v>42</v>
      </c>
      <c r="B31" s="7" t="s">
        <v>104</v>
      </c>
      <c r="C31" s="7" t="s">
        <v>300</v>
      </c>
      <c r="D31" s="7" t="s">
        <v>61</v>
      </c>
      <c r="E31" s="9">
        <v>9</v>
      </c>
      <c r="F31" s="9">
        <v>0</v>
      </c>
      <c r="G31" s="9">
        <v>0</v>
      </c>
      <c r="H31" s="11">
        <v>-1636.0000010000001</v>
      </c>
      <c r="I31" s="7" t="s">
        <v>104</v>
      </c>
    </row>
    <row r="32" spans="1:9" ht="21" customHeight="1">
      <c r="A32" s="7" t="s">
        <v>42</v>
      </c>
      <c r="B32" s="7" t="s">
        <v>110</v>
      </c>
      <c r="C32" s="7" t="s">
        <v>301</v>
      </c>
      <c r="D32" s="7" t="s">
        <v>61</v>
      </c>
      <c r="E32" s="9">
        <v>22</v>
      </c>
      <c r="F32" s="9">
        <v>0</v>
      </c>
      <c r="G32" s="9">
        <v>0</v>
      </c>
      <c r="H32" s="11">
        <v>-1431.500004</v>
      </c>
      <c r="I32" s="7" t="s">
        <v>110</v>
      </c>
    </row>
    <row r="33" spans="1:9" ht="21" customHeight="1">
      <c r="A33" s="7" t="s">
        <v>42</v>
      </c>
      <c r="B33" s="7" t="s">
        <v>114</v>
      </c>
      <c r="C33" s="7" t="s">
        <v>302</v>
      </c>
      <c r="D33" s="7" t="s">
        <v>61</v>
      </c>
      <c r="E33" s="9">
        <v>18</v>
      </c>
      <c r="F33" s="9">
        <v>0</v>
      </c>
      <c r="G33" s="9">
        <v>0</v>
      </c>
      <c r="H33" s="11">
        <v>-387.499999</v>
      </c>
      <c r="I33" s="7" t="s">
        <v>114</v>
      </c>
    </row>
    <row r="34" spans="1:9" ht="21" customHeight="1">
      <c r="A34" s="7" t="s">
        <v>42</v>
      </c>
      <c r="B34" s="7" t="s">
        <v>116</v>
      </c>
      <c r="C34" s="7" t="s">
        <v>303</v>
      </c>
      <c r="D34" s="7" t="s">
        <v>61</v>
      </c>
      <c r="E34" s="9">
        <v>11</v>
      </c>
      <c r="F34" s="9">
        <v>0</v>
      </c>
      <c r="G34" s="9">
        <v>0</v>
      </c>
      <c r="H34" s="11">
        <v>0</v>
      </c>
      <c r="I34" s="7" t="s">
        <v>116</v>
      </c>
    </row>
    <row r="35" spans="1:9" ht="21" customHeight="1">
      <c r="A35" s="7" t="s">
        <v>43</v>
      </c>
      <c r="B35" s="7" t="s">
        <v>121</v>
      </c>
      <c r="C35" s="7" t="s">
        <v>122</v>
      </c>
      <c r="D35" s="7" t="s">
        <v>61</v>
      </c>
      <c r="E35" s="9">
        <v>3998</v>
      </c>
      <c r="F35" s="9">
        <v>232</v>
      </c>
      <c r="G35" s="9">
        <v>6</v>
      </c>
      <c r="H35" s="11">
        <v>-4381.8703240000004</v>
      </c>
      <c r="I35" s="7" t="s">
        <v>121</v>
      </c>
    </row>
    <row r="36" spans="1:9" ht="21" customHeight="1">
      <c r="A36" s="7" t="s">
        <v>43</v>
      </c>
      <c r="B36" s="7" t="s">
        <v>117</v>
      </c>
      <c r="C36" s="7" t="s">
        <v>118</v>
      </c>
      <c r="D36" s="7" t="s">
        <v>61</v>
      </c>
      <c r="E36" s="9">
        <v>9461</v>
      </c>
      <c r="F36" s="9">
        <v>471</v>
      </c>
      <c r="G36" s="9">
        <v>19</v>
      </c>
      <c r="H36" s="11">
        <v>-1796.0976110000001</v>
      </c>
      <c r="I36" s="7" t="s">
        <v>117</v>
      </c>
    </row>
    <row r="37" spans="1:9" ht="21" customHeight="1">
      <c r="A37" s="7" t="s">
        <v>43</v>
      </c>
      <c r="B37" s="7" t="s">
        <v>119</v>
      </c>
      <c r="C37" s="7" t="s">
        <v>304</v>
      </c>
      <c r="D37" s="7" t="s">
        <v>61</v>
      </c>
      <c r="E37" s="9">
        <v>1435</v>
      </c>
      <c r="F37" s="9">
        <v>123</v>
      </c>
      <c r="G37" s="9">
        <v>2</v>
      </c>
      <c r="H37" s="11">
        <v>1390.0000010000001</v>
      </c>
      <c r="I37" s="7" t="s">
        <v>119</v>
      </c>
    </row>
    <row r="38" spans="1:9" ht="21" customHeight="1">
      <c r="A38" s="7" t="s">
        <v>44</v>
      </c>
      <c r="B38" s="7" t="s">
        <v>135</v>
      </c>
      <c r="C38" s="7" t="s">
        <v>305</v>
      </c>
      <c r="D38" s="7" t="s">
        <v>61</v>
      </c>
      <c r="E38" s="9">
        <v>387</v>
      </c>
      <c r="F38" s="9">
        <v>33</v>
      </c>
      <c r="G38" s="9">
        <v>1</v>
      </c>
      <c r="H38" s="11">
        <v>-38313.562587</v>
      </c>
      <c r="I38" s="7" t="s">
        <v>135</v>
      </c>
    </row>
    <row r="39" spans="1:9" ht="21" customHeight="1">
      <c r="A39" s="7" t="s">
        <v>44</v>
      </c>
      <c r="B39" s="7" t="s">
        <v>125</v>
      </c>
      <c r="C39" s="7" t="s">
        <v>126</v>
      </c>
      <c r="D39" s="7" t="s">
        <v>61</v>
      </c>
      <c r="E39" s="9">
        <v>3035</v>
      </c>
      <c r="F39" s="9">
        <v>181</v>
      </c>
      <c r="G39" s="9">
        <v>4</v>
      </c>
      <c r="H39" s="11">
        <v>15680.000002000001</v>
      </c>
      <c r="I39" s="7" t="s">
        <v>125</v>
      </c>
    </row>
    <row r="40" spans="1:9" ht="21" customHeight="1">
      <c r="A40" s="7" t="s">
        <v>44</v>
      </c>
      <c r="B40" s="7" t="s">
        <v>127</v>
      </c>
      <c r="C40" s="7" t="s">
        <v>128</v>
      </c>
      <c r="D40" s="7" t="s">
        <v>61</v>
      </c>
      <c r="E40" s="9">
        <v>4420</v>
      </c>
      <c r="F40" s="9">
        <v>269</v>
      </c>
      <c r="G40" s="9">
        <v>5</v>
      </c>
      <c r="H40" s="11">
        <v>8524.9999950000001</v>
      </c>
      <c r="I40" s="7" t="s">
        <v>127</v>
      </c>
    </row>
    <row r="41" spans="1:9" ht="21" customHeight="1">
      <c r="A41" s="7" t="s">
        <v>44</v>
      </c>
      <c r="B41" s="7" t="s">
        <v>131</v>
      </c>
      <c r="C41" s="7" t="s">
        <v>306</v>
      </c>
      <c r="D41" s="7" t="s">
        <v>61</v>
      </c>
      <c r="E41" s="9">
        <v>5129</v>
      </c>
      <c r="F41" s="9">
        <v>350</v>
      </c>
      <c r="G41" s="9">
        <v>31</v>
      </c>
      <c r="H41" s="11">
        <v>7672.4999950000001</v>
      </c>
      <c r="I41" s="7" t="s">
        <v>131</v>
      </c>
    </row>
    <row r="42" spans="1:9" ht="21" customHeight="1">
      <c r="A42" s="7" t="s">
        <v>44</v>
      </c>
      <c r="B42" s="7" t="s">
        <v>123</v>
      </c>
      <c r="C42" s="7" t="s">
        <v>124</v>
      </c>
      <c r="D42" s="7" t="s">
        <v>61</v>
      </c>
      <c r="E42" s="9">
        <v>1134</v>
      </c>
      <c r="F42" s="9">
        <v>45</v>
      </c>
      <c r="G42" s="9">
        <v>1</v>
      </c>
      <c r="H42" s="11">
        <v>3845.0000009999999</v>
      </c>
      <c r="I42" s="7" t="s">
        <v>123</v>
      </c>
    </row>
    <row r="43" spans="1:9" ht="21" customHeight="1">
      <c r="A43" s="7" t="s">
        <v>44</v>
      </c>
      <c r="B43" s="7" t="s">
        <v>133</v>
      </c>
      <c r="C43" s="7" t="s">
        <v>307</v>
      </c>
      <c r="D43" s="7" t="s">
        <v>61</v>
      </c>
      <c r="E43" s="9">
        <v>800</v>
      </c>
      <c r="F43" s="9">
        <v>12</v>
      </c>
      <c r="G43" s="9">
        <v>0</v>
      </c>
      <c r="H43" s="11">
        <v>0</v>
      </c>
      <c r="I43" s="7" t="s">
        <v>133</v>
      </c>
    </row>
    <row r="44" spans="1:9" ht="21" customHeight="1">
      <c r="A44" s="7" t="s">
        <v>44</v>
      </c>
      <c r="B44" s="7" t="s">
        <v>129</v>
      </c>
      <c r="C44" s="7" t="s">
        <v>130</v>
      </c>
      <c r="D44" s="7" t="s">
        <v>61</v>
      </c>
      <c r="E44" s="9">
        <v>3911</v>
      </c>
      <c r="F44" s="9">
        <v>103</v>
      </c>
      <c r="G44" s="9">
        <v>0</v>
      </c>
      <c r="H44" s="11">
        <v>0</v>
      </c>
      <c r="I44" s="7" t="s">
        <v>129</v>
      </c>
    </row>
    <row r="45" spans="1:9" ht="21" customHeight="1">
      <c r="A45" s="7" t="s">
        <v>45</v>
      </c>
      <c r="B45" s="7" t="s">
        <v>143</v>
      </c>
      <c r="C45" s="7" t="s">
        <v>144</v>
      </c>
      <c r="D45" s="7" t="s">
        <v>61</v>
      </c>
      <c r="E45" s="9">
        <v>1535</v>
      </c>
      <c r="F45" s="9">
        <v>24</v>
      </c>
      <c r="G45" s="9">
        <v>2</v>
      </c>
      <c r="H45" s="11">
        <v>-16420.863635999998</v>
      </c>
      <c r="I45" s="7" t="s">
        <v>143</v>
      </c>
    </row>
    <row r="46" spans="1:9" ht="21" customHeight="1">
      <c r="A46" s="7" t="s">
        <v>45</v>
      </c>
      <c r="B46" s="7" t="s">
        <v>147</v>
      </c>
      <c r="C46" s="7" t="s">
        <v>308</v>
      </c>
      <c r="D46" s="7" t="s">
        <v>61</v>
      </c>
      <c r="E46" s="9">
        <v>78</v>
      </c>
      <c r="F46" s="9">
        <v>0</v>
      </c>
      <c r="G46" s="9">
        <v>0</v>
      </c>
      <c r="H46" s="11">
        <v>-5835.1371589999999</v>
      </c>
      <c r="I46" s="7" t="s">
        <v>147</v>
      </c>
    </row>
    <row r="47" spans="1:9" ht="21" customHeight="1">
      <c r="A47" s="7" t="s">
        <v>45</v>
      </c>
      <c r="B47" s="7" t="s">
        <v>162</v>
      </c>
      <c r="C47" s="7" t="s">
        <v>309</v>
      </c>
      <c r="D47" s="7" t="s">
        <v>61</v>
      </c>
      <c r="E47" s="9">
        <v>284</v>
      </c>
      <c r="F47" s="9">
        <v>2</v>
      </c>
      <c r="G47" s="9">
        <v>0</v>
      </c>
      <c r="H47" s="11">
        <v>-4753.800268</v>
      </c>
      <c r="I47" s="7" t="s">
        <v>162</v>
      </c>
    </row>
    <row r="48" spans="1:9" ht="21" customHeight="1">
      <c r="A48" s="7" t="s">
        <v>45</v>
      </c>
      <c r="B48" s="7" t="s">
        <v>145</v>
      </c>
      <c r="C48" s="7" t="s">
        <v>146</v>
      </c>
      <c r="D48" s="7" t="s">
        <v>61</v>
      </c>
      <c r="E48" s="9">
        <v>729</v>
      </c>
      <c r="F48" s="9">
        <v>50</v>
      </c>
      <c r="G48" s="9">
        <v>6</v>
      </c>
      <c r="H48" s="11">
        <v>-4690.0000029999992</v>
      </c>
      <c r="I48" s="7" t="s">
        <v>145</v>
      </c>
    </row>
    <row r="49" spans="1:9" ht="21" customHeight="1">
      <c r="A49" s="7" t="s">
        <v>45</v>
      </c>
      <c r="B49" s="7" t="s">
        <v>160</v>
      </c>
      <c r="C49" s="7" t="s">
        <v>310</v>
      </c>
      <c r="D49" s="7" t="s">
        <v>61</v>
      </c>
      <c r="E49" s="9">
        <v>306</v>
      </c>
      <c r="F49" s="9">
        <v>0</v>
      </c>
      <c r="G49" s="9">
        <v>0</v>
      </c>
      <c r="H49" s="11">
        <v>-3680.1500780000001</v>
      </c>
      <c r="I49" s="7" t="s">
        <v>160</v>
      </c>
    </row>
    <row r="50" spans="1:9" ht="21" customHeight="1">
      <c r="A50" s="7" t="s">
        <v>45</v>
      </c>
      <c r="B50" s="7" t="s">
        <v>139</v>
      </c>
      <c r="C50" s="7" t="s">
        <v>140</v>
      </c>
      <c r="D50" s="7" t="s">
        <v>61</v>
      </c>
      <c r="E50" s="9">
        <v>16246</v>
      </c>
      <c r="F50" s="9">
        <v>1044</v>
      </c>
      <c r="G50" s="9">
        <v>72</v>
      </c>
      <c r="H50" s="11">
        <v>-2678.5000059999998</v>
      </c>
      <c r="I50" s="7" t="s">
        <v>139</v>
      </c>
    </row>
    <row r="51" spans="1:9" ht="21" customHeight="1">
      <c r="A51" s="7" t="s">
        <v>45</v>
      </c>
      <c r="B51" s="7" t="s">
        <v>141</v>
      </c>
      <c r="C51" s="7" t="s">
        <v>142</v>
      </c>
      <c r="D51" s="7" t="s">
        <v>61</v>
      </c>
      <c r="E51" s="9">
        <v>420</v>
      </c>
      <c r="F51" s="9">
        <v>32</v>
      </c>
      <c r="G51" s="9">
        <v>2</v>
      </c>
      <c r="H51" s="11">
        <v>1089.999998</v>
      </c>
      <c r="I51" s="7" t="s">
        <v>141</v>
      </c>
    </row>
    <row r="52" spans="1:9" ht="21" customHeight="1">
      <c r="A52" s="7" t="s">
        <v>45</v>
      </c>
      <c r="B52" s="7" t="s">
        <v>157</v>
      </c>
      <c r="C52" s="7" t="s">
        <v>311</v>
      </c>
      <c r="D52" s="7" t="s">
        <v>61</v>
      </c>
      <c r="E52" s="9">
        <v>27</v>
      </c>
      <c r="F52" s="9">
        <v>0</v>
      </c>
      <c r="G52" s="9">
        <v>0</v>
      </c>
      <c r="H52" s="11">
        <v>-696.500001</v>
      </c>
      <c r="I52" s="7" t="s">
        <v>157</v>
      </c>
    </row>
    <row r="53" spans="1:9" ht="21" customHeight="1">
      <c r="A53" s="7" t="s">
        <v>45</v>
      </c>
      <c r="B53" s="7" t="s">
        <v>149</v>
      </c>
      <c r="C53" s="7" t="s">
        <v>150</v>
      </c>
      <c r="D53" s="7" t="s">
        <v>151</v>
      </c>
      <c r="E53" s="9">
        <v>5</v>
      </c>
      <c r="F53" s="9">
        <v>0</v>
      </c>
      <c r="G53" s="9">
        <v>0</v>
      </c>
      <c r="H53" s="11">
        <v>0</v>
      </c>
      <c r="I53" s="7" t="s">
        <v>152</v>
      </c>
    </row>
    <row r="54" spans="1:9" ht="21" customHeight="1">
      <c r="A54" s="7" t="s">
        <v>45</v>
      </c>
      <c r="B54" s="7" t="s">
        <v>153</v>
      </c>
      <c r="C54" s="7" t="s">
        <v>312</v>
      </c>
      <c r="D54" s="7" t="s">
        <v>61</v>
      </c>
      <c r="E54" s="9">
        <v>91</v>
      </c>
      <c r="F54" s="9">
        <v>0</v>
      </c>
      <c r="G54" s="9">
        <v>0</v>
      </c>
      <c r="H54" s="11">
        <v>0</v>
      </c>
      <c r="I54" s="7" t="s">
        <v>153</v>
      </c>
    </row>
    <row r="55" spans="1:9" ht="21" customHeight="1">
      <c r="A55" s="7" t="s">
        <v>45</v>
      </c>
      <c r="B55" s="7" t="s">
        <v>313</v>
      </c>
      <c r="C55" s="7" t="s">
        <v>314</v>
      </c>
      <c r="D55" s="7" t="s">
        <v>210</v>
      </c>
      <c r="E55" s="9">
        <v>281</v>
      </c>
      <c r="F55" s="9">
        <v>6</v>
      </c>
      <c r="G55" s="9">
        <v>0</v>
      </c>
      <c r="H55" s="11">
        <v>0</v>
      </c>
      <c r="I55" s="7" t="s">
        <v>313</v>
      </c>
    </row>
    <row r="56" spans="1:9" ht="21" customHeight="1">
      <c r="A56" s="7" t="s">
        <v>45</v>
      </c>
      <c r="B56" s="7" t="s">
        <v>137</v>
      </c>
      <c r="C56" s="7" t="s">
        <v>138</v>
      </c>
      <c r="D56" s="7" t="s">
        <v>61</v>
      </c>
      <c r="E56" s="9">
        <v>5234</v>
      </c>
      <c r="F56" s="9">
        <v>240</v>
      </c>
      <c r="G56" s="9">
        <v>0</v>
      </c>
      <c r="H56" s="11">
        <v>0</v>
      </c>
      <c r="I56" s="7" t="s">
        <v>137</v>
      </c>
    </row>
    <row r="57" spans="1:9" ht="21" customHeight="1">
      <c r="A57" s="7" t="s">
        <v>45</v>
      </c>
      <c r="B57" s="7" t="s">
        <v>155</v>
      </c>
      <c r="C57" s="7" t="s">
        <v>315</v>
      </c>
      <c r="D57" s="7" t="s">
        <v>61</v>
      </c>
      <c r="E57" s="9">
        <v>650</v>
      </c>
      <c r="F57" s="9">
        <v>18</v>
      </c>
      <c r="G57" s="9">
        <v>0</v>
      </c>
      <c r="H57" s="11">
        <v>0</v>
      </c>
      <c r="I57" s="7" t="s">
        <v>155</v>
      </c>
    </row>
    <row r="58" spans="1:9" ht="21" customHeight="1">
      <c r="A58" s="7" t="s">
        <v>45</v>
      </c>
      <c r="B58" s="7" t="s">
        <v>159</v>
      </c>
      <c r="C58" s="7" t="s">
        <v>316</v>
      </c>
      <c r="D58" s="7" t="s">
        <v>61</v>
      </c>
      <c r="E58" s="9">
        <v>41</v>
      </c>
      <c r="F58" s="9">
        <v>1</v>
      </c>
      <c r="G58" s="9">
        <v>0</v>
      </c>
      <c r="H58" s="11">
        <v>0</v>
      </c>
      <c r="I58" s="7" t="s">
        <v>159</v>
      </c>
    </row>
    <row r="59" spans="1:9" ht="21" customHeight="1">
      <c r="A59" s="7" t="s">
        <v>45</v>
      </c>
      <c r="B59" s="7" t="s">
        <v>164</v>
      </c>
      <c r="C59" s="7" t="s">
        <v>317</v>
      </c>
      <c r="D59" s="7" t="s">
        <v>61</v>
      </c>
      <c r="E59" s="9">
        <v>17</v>
      </c>
      <c r="F59" s="9">
        <v>0</v>
      </c>
      <c r="G59" s="9">
        <v>0</v>
      </c>
      <c r="H59" s="11">
        <v>0</v>
      </c>
      <c r="I59" s="7" t="s">
        <v>164</v>
      </c>
    </row>
    <row r="60" spans="1:9" ht="21" customHeight="1">
      <c r="A60" s="7" t="s">
        <v>45</v>
      </c>
      <c r="B60" s="7" t="s">
        <v>166</v>
      </c>
      <c r="C60" s="7" t="s">
        <v>318</v>
      </c>
      <c r="D60" s="7" t="s">
        <v>61</v>
      </c>
      <c r="E60" s="9">
        <v>96</v>
      </c>
      <c r="F60" s="9">
        <v>7</v>
      </c>
      <c r="G60" s="9">
        <v>0</v>
      </c>
      <c r="H60" s="11">
        <v>0</v>
      </c>
      <c r="I60" s="7" t="s">
        <v>166</v>
      </c>
    </row>
    <row r="61" spans="1:9" ht="21" customHeight="1">
      <c r="A61" s="7" t="s">
        <v>45</v>
      </c>
      <c r="B61" s="7" t="s">
        <v>168</v>
      </c>
      <c r="C61" s="7" t="s">
        <v>319</v>
      </c>
      <c r="D61" s="7" t="s">
        <v>151</v>
      </c>
      <c r="E61" s="9">
        <v>3</v>
      </c>
      <c r="F61" s="9">
        <v>0</v>
      </c>
      <c r="G61" s="9">
        <v>0</v>
      </c>
      <c r="H61" s="11">
        <v>0</v>
      </c>
      <c r="I61" s="7" t="s">
        <v>170</v>
      </c>
    </row>
    <row r="62" spans="1:9" ht="21" customHeight="1">
      <c r="A62" s="7" t="s">
        <v>46</v>
      </c>
      <c r="B62" s="7" t="s">
        <v>173</v>
      </c>
      <c r="C62" s="7" t="s">
        <v>174</v>
      </c>
      <c r="D62" s="7" t="s">
        <v>61</v>
      </c>
      <c r="E62" s="9">
        <v>632</v>
      </c>
      <c r="F62" s="9">
        <v>9</v>
      </c>
      <c r="G62" s="9">
        <v>2</v>
      </c>
      <c r="H62" s="11">
        <v>27249.999999</v>
      </c>
      <c r="I62" s="7" t="s">
        <v>173</v>
      </c>
    </row>
    <row r="63" spans="1:9" ht="21" customHeight="1">
      <c r="A63" s="7" t="s">
        <v>46</v>
      </c>
      <c r="B63" s="7" t="s">
        <v>175</v>
      </c>
      <c r="C63" s="7" t="s">
        <v>176</v>
      </c>
      <c r="D63" s="7" t="s">
        <v>61</v>
      </c>
      <c r="E63" s="9">
        <v>897</v>
      </c>
      <c r="F63" s="9">
        <v>58</v>
      </c>
      <c r="G63" s="9">
        <v>10</v>
      </c>
      <c r="H63" s="11">
        <v>5325.0000090000003</v>
      </c>
      <c r="I63" s="7" t="s">
        <v>175</v>
      </c>
    </row>
    <row r="64" spans="1:9" ht="21" customHeight="1">
      <c r="A64" s="7" t="s">
        <v>46</v>
      </c>
      <c r="B64" s="7" t="s">
        <v>171</v>
      </c>
      <c r="C64" s="7" t="s">
        <v>172</v>
      </c>
      <c r="D64" s="7" t="s">
        <v>61</v>
      </c>
      <c r="E64" s="9">
        <v>6108</v>
      </c>
      <c r="F64" s="9">
        <v>231</v>
      </c>
      <c r="G64" s="9">
        <v>18</v>
      </c>
      <c r="H64" s="11">
        <v>2555.30537</v>
      </c>
      <c r="I64" s="7" t="s">
        <v>171</v>
      </c>
    </row>
    <row r="65" spans="1:9" ht="21" customHeight="1">
      <c r="A65" s="7" t="s">
        <v>46</v>
      </c>
      <c r="B65" s="7" t="s">
        <v>177</v>
      </c>
      <c r="C65" s="7" t="s">
        <v>178</v>
      </c>
      <c r="D65" s="7" t="s">
        <v>61</v>
      </c>
      <c r="E65" s="9">
        <v>211</v>
      </c>
      <c r="F65" s="9">
        <v>7</v>
      </c>
      <c r="G65" s="9">
        <v>0</v>
      </c>
      <c r="H65" s="11">
        <v>0</v>
      </c>
      <c r="I65" s="7" t="s">
        <v>177</v>
      </c>
    </row>
    <row r="66" spans="1:9" ht="21" customHeight="1">
      <c r="A66" s="7" t="s">
        <v>46</v>
      </c>
      <c r="B66" s="7" t="s">
        <v>320</v>
      </c>
      <c r="C66" s="7" t="s">
        <v>321</v>
      </c>
      <c r="D66" s="7" t="s">
        <v>61</v>
      </c>
      <c r="E66" s="9">
        <v>224</v>
      </c>
      <c r="F66" s="9">
        <v>7</v>
      </c>
      <c r="G66" s="9">
        <v>0</v>
      </c>
      <c r="H66" s="11">
        <v>0</v>
      </c>
      <c r="I66" s="7" t="s">
        <v>320</v>
      </c>
    </row>
    <row r="67" spans="1:9" ht="21" customHeight="1">
      <c r="A67" s="7" t="s">
        <v>47</v>
      </c>
      <c r="B67" s="7" t="s">
        <v>184</v>
      </c>
      <c r="C67" s="7" t="s">
        <v>322</v>
      </c>
      <c r="D67" s="7" t="s">
        <v>181</v>
      </c>
      <c r="E67" s="9">
        <v>1866</v>
      </c>
      <c r="F67" s="9">
        <v>148</v>
      </c>
      <c r="G67" s="9">
        <v>12</v>
      </c>
      <c r="H67" s="11">
        <v>7639.9999969999999</v>
      </c>
      <c r="I67" s="7" t="s">
        <v>184</v>
      </c>
    </row>
    <row r="68" spans="1:9" ht="21" customHeight="1">
      <c r="A68" s="7" t="s">
        <v>47</v>
      </c>
      <c r="B68" s="7" t="s">
        <v>188</v>
      </c>
      <c r="C68" s="7" t="s">
        <v>189</v>
      </c>
      <c r="D68" s="7" t="s">
        <v>181</v>
      </c>
      <c r="E68" s="9">
        <v>899</v>
      </c>
      <c r="F68" s="9">
        <v>109</v>
      </c>
      <c r="G68" s="9">
        <v>5</v>
      </c>
      <c r="H68" s="11">
        <v>2125.0000009999999</v>
      </c>
      <c r="I68" s="7" t="s">
        <v>188</v>
      </c>
    </row>
    <row r="69" spans="1:9" ht="21" customHeight="1">
      <c r="A69" s="7" t="s">
        <v>47</v>
      </c>
      <c r="B69" s="7" t="s">
        <v>196</v>
      </c>
      <c r="C69" s="7" t="s">
        <v>323</v>
      </c>
      <c r="D69" s="7" t="s">
        <v>181</v>
      </c>
      <c r="E69" s="9">
        <v>677</v>
      </c>
      <c r="F69" s="9">
        <v>48</v>
      </c>
      <c r="G69" s="9">
        <v>3</v>
      </c>
      <c r="H69" s="11">
        <v>1884.999998</v>
      </c>
      <c r="I69" s="7" t="s">
        <v>196</v>
      </c>
    </row>
    <row r="70" spans="1:9" ht="21" customHeight="1">
      <c r="A70" s="7" t="s">
        <v>47</v>
      </c>
      <c r="B70" s="7" t="s">
        <v>198</v>
      </c>
      <c r="C70" s="7" t="s">
        <v>324</v>
      </c>
      <c r="D70" s="7" t="s">
        <v>181</v>
      </c>
      <c r="E70" s="9">
        <v>1107</v>
      </c>
      <c r="F70" s="9">
        <v>85</v>
      </c>
      <c r="G70" s="9">
        <v>3</v>
      </c>
      <c r="H70" s="11">
        <v>1684.999996</v>
      </c>
      <c r="I70" s="7" t="s">
        <v>198</v>
      </c>
    </row>
    <row r="71" spans="1:9" ht="21" customHeight="1">
      <c r="A71" s="7" t="s">
        <v>47</v>
      </c>
      <c r="B71" s="7" t="s">
        <v>182</v>
      </c>
      <c r="C71" s="7" t="s">
        <v>325</v>
      </c>
      <c r="D71" s="7" t="s">
        <v>181</v>
      </c>
      <c r="E71" s="9">
        <v>1139</v>
      </c>
      <c r="F71" s="9">
        <v>68</v>
      </c>
      <c r="G71" s="9">
        <v>4</v>
      </c>
      <c r="H71" s="11">
        <v>1662.496664</v>
      </c>
      <c r="I71" s="7" t="s">
        <v>182</v>
      </c>
    </row>
    <row r="72" spans="1:9" ht="21" customHeight="1">
      <c r="A72" s="7" t="s">
        <v>47</v>
      </c>
      <c r="B72" s="7" t="s">
        <v>202</v>
      </c>
      <c r="C72" s="7" t="s">
        <v>326</v>
      </c>
      <c r="D72" s="7" t="s">
        <v>181</v>
      </c>
      <c r="E72" s="9">
        <v>669</v>
      </c>
      <c r="F72" s="9">
        <v>52</v>
      </c>
      <c r="G72" s="9">
        <v>2</v>
      </c>
      <c r="H72" s="11">
        <v>1139.999998</v>
      </c>
      <c r="I72" s="7" t="s">
        <v>202</v>
      </c>
    </row>
    <row r="73" spans="1:9" ht="21" customHeight="1">
      <c r="A73" s="7" t="s">
        <v>47</v>
      </c>
      <c r="B73" s="7" t="s">
        <v>200</v>
      </c>
      <c r="C73" s="7" t="s">
        <v>327</v>
      </c>
      <c r="D73" s="7" t="s">
        <v>181</v>
      </c>
      <c r="E73" s="9">
        <v>512</v>
      </c>
      <c r="F73" s="9">
        <v>40</v>
      </c>
      <c r="G73" s="9">
        <v>2</v>
      </c>
      <c r="H73" s="11">
        <v>1040.0000010000001</v>
      </c>
      <c r="I73" s="7" t="s">
        <v>200</v>
      </c>
    </row>
    <row r="74" spans="1:9" ht="21" customHeight="1">
      <c r="A74" s="7" t="s">
        <v>47</v>
      </c>
      <c r="B74" s="7" t="s">
        <v>204</v>
      </c>
      <c r="C74" s="7" t="s">
        <v>328</v>
      </c>
      <c r="D74" s="7" t="s">
        <v>181</v>
      </c>
      <c r="E74" s="9">
        <v>415</v>
      </c>
      <c r="F74" s="9">
        <v>31</v>
      </c>
      <c r="G74" s="9">
        <v>4</v>
      </c>
      <c r="H74" s="11">
        <v>810.000001</v>
      </c>
      <c r="I74" s="7" t="s">
        <v>204</v>
      </c>
    </row>
    <row r="75" spans="1:9" ht="21" customHeight="1">
      <c r="A75" s="7" t="s">
        <v>47</v>
      </c>
      <c r="B75" s="7" t="s">
        <v>179</v>
      </c>
      <c r="C75" s="7" t="s">
        <v>329</v>
      </c>
      <c r="D75" s="7" t="s">
        <v>181</v>
      </c>
      <c r="E75" s="9">
        <v>979</v>
      </c>
      <c r="F75" s="9">
        <v>68</v>
      </c>
      <c r="G75" s="9">
        <v>3</v>
      </c>
      <c r="H75" s="11">
        <v>735.00000299999999</v>
      </c>
      <c r="I75" s="7" t="s">
        <v>179</v>
      </c>
    </row>
    <row r="76" spans="1:9" ht="21" customHeight="1">
      <c r="A76" s="7" t="s">
        <v>47</v>
      </c>
      <c r="B76" s="7" t="s">
        <v>190</v>
      </c>
      <c r="C76" s="7" t="s">
        <v>330</v>
      </c>
      <c r="D76" s="7" t="s">
        <v>181</v>
      </c>
      <c r="E76" s="9">
        <v>279</v>
      </c>
      <c r="F76" s="9">
        <v>6</v>
      </c>
      <c r="G76" s="9">
        <v>0</v>
      </c>
      <c r="H76" s="11">
        <v>-544.999999</v>
      </c>
      <c r="I76" s="7" t="s">
        <v>190</v>
      </c>
    </row>
    <row r="77" spans="1:9" ht="21" customHeight="1">
      <c r="A77" s="7" t="s">
        <v>47</v>
      </c>
      <c r="B77" s="7" t="s">
        <v>194</v>
      </c>
      <c r="C77" s="7" t="s">
        <v>331</v>
      </c>
      <c r="D77" s="7" t="s">
        <v>181</v>
      </c>
      <c r="E77" s="9">
        <v>502</v>
      </c>
      <c r="F77" s="9">
        <v>12</v>
      </c>
      <c r="G77" s="9">
        <v>1</v>
      </c>
      <c r="H77" s="11">
        <v>500</v>
      </c>
      <c r="I77" s="7" t="s">
        <v>194</v>
      </c>
    </row>
    <row r="78" spans="1:9" ht="21" customHeight="1">
      <c r="A78" s="7" t="s">
        <v>47</v>
      </c>
      <c r="B78" s="7" t="s">
        <v>192</v>
      </c>
      <c r="C78" s="7" t="s">
        <v>332</v>
      </c>
      <c r="D78" s="7" t="s">
        <v>181</v>
      </c>
      <c r="E78" s="9">
        <v>320</v>
      </c>
      <c r="F78" s="9">
        <v>33</v>
      </c>
      <c r="G78" s="9">
        <v>1</v>
      </c>
      <c r="H78" s="11">
        <v>322.500001</v>
      </c>
      <c r="I78" s="7" t="s">
        <v>192</v>
      </c>
    </row>
    <row r="79" spans="1:9" ht="21" customHeight="1">
      <c r="A79" s="7" t="s">
        <v>47</v>
      </c>
      <c r="B79" s="7" t="s">
        <v>186</v>
      </c>
      <c r="C79" s="7" t="s">
        <v>333</v>
      </c>
      <c r="D79" s="7" t="s">
        <v>181</v>
      </c>
      <c r="E79" s="9">
        <v>529</v>
      </c>
      <c r="F79" s="9">
        <v>92</v>
      </c>
      <c r="G79" s="9">
        <v>0</v>
      </c>
      <c r="H79" s="11">
        <v>0</v>
      </c>
      <c r="I79" s="7" t="s">
        <v>186</v>
      </c>
    </row>
    <row r="80" spans="1:9" ht="21" customHeight="1">
      <c r="A80" s="7" t="s">
        <v>47</v>
      </c>
      <c r="B80" s="7" t="s">
        <v>206</v>
      </c>
      <c r="C80" s="7" t="s">
        <v>334</v>
      </c>
      <c r="D80" s="7" t="s">
        <v>181</v>
      </c>
      <c r="E80" s="9">
        <v>253</v>
      </c>
      <c r="F80" s="9">
        <v>12</v>
      </c>
      <c r="G80" s="9">
        <v>0</v>
      </c>
      <c r="H80" s="11">
        <v>0</v>
      </c>
      <c r="I80" s="7" t="s">
        <v>206</v>
      </c>
    </row>
    <row r="81" spans="1:9" ht="21" customHeight="1">
      <c r="A81" s="7" t="s">
        <v>48</v>
      </c>
      <c r="B81" s="7" t="s">
        <v>232</v>
      </c>
      <c r="C81" s="7" t="s">
        <v>335</v>
      </c>
      <c r="D81" s="7" t="s">
        <v>61</v>
      </c>
      <c r="E81" s="9">
        <v>920</v>
      </c>
      <c r="F81" s="9">
        <v>15</v>
      </c>
      <c r="G81" s="9">
        <v>0</v>
      </c>
      <c r="H81" s="11">
        <v>-33849.999997999999</v>
      </c>
      <c r="I81" s="7" t="s">
        <v>232</v>
      </c>
    </row>
    <row r="82" spans="1:9" ht="21" customHeight="1">
      <c r="A82" s="7" t="s">
        <v>48</v>
      </c>
      <c r="B82" s="7" t="s">
        <v>238</v>
      </c>
      <c r="C82" s="7" t="s">
        <v>336</v>
      </c>
      <c r="D82" s="7" t="s">
        <v>61</v>
      </c>
      <c r="E82" s="9">
        <v>219</v>
      </c>
      <c r="F82" s="9">
        <v>1</v>
      </c>
      <c r="G82" s="9">
        <v>0</v>
      </c>
      <c r="H82" s="11">
        <v>-22399.999997999999</v>
      </c>
      <c r="I82" s="7" t="s">
        <v>238</v>
      </c>
    </row>
    <row r="83" spans="1:9" ht="21" customHeight="1">
      <c r="A83" s="7" t="s">
        <v>48</v>
      </c>
      <c r="B83" s="7" t="s">
        <v>216</v>
      </c>
      <c r="C83" s="7" t="s">
        <v>337</v>
      </c>
      <c r="D83" s="7" t="s">
        <v>61</v>
      </c>
      <c r="E83" s="9">
        <v>265</v>
      </c>
      <c r="F83" s="9">
        <v>9</v>
      </c>
      <c r="G83" s="9">
        <v>1</v>
      </c>
      <c r="H83" s="11">
        <v>16599.999999</v>
      </c>
      <c r="I83" s="7" t="s">
        <v>216</v>
      </c>
    </row>
    <row r="84" spans="1:9" ht="21" customHeight="1">
      <c r="A84" s="7" t="s">
        <v>48</v>
      </c>
      <c r="B84" s="7" t="s">
        <v>234</v>
      </c>
      <c r="C84" s="7" t="s">
        <v>338</v>
      </c>
      <c r="D84" s="7" t="s">
        <v>61</v>
      </c>
      <c r="E84" s="9">
        <v>16</v>
      </c>
      <c r="F84" s="9">
        <v>0</v>
      </c>
      <c r="G84" s="9">
        <v>0</v>
      </c>
      <c r="H84" s="11">
        <v>-4750</v>
      </c>
      <c r="I84" s="7" t="s">
        <v>234</v>
      </c>
    </row>
    <row r="85" spans="1:9" ht="21" customHeight="1">
      <c r="A85" s="7" t="s">
        <v>48</v>
      </c>
      <c r="B85" s="7" t="s">
        <v>230</v>
      </c>
      <c r="C85" s="7" t="s">
        <v>339</v>
      </c>
      <c r="D85" s="7" t="s">
        <v>61</v>
      </c>
      <c r="E85" s="9">
        <v>1716</v>
      </c>
      <c r="F85" s="9">
        <v>37</v>
      </c>
      <c r="G85" s="9">
        <v>0</v>
      </c>
      <c r="H85" s="11">
        <v>-4524.9999989999997</v>
      </c>
      <c r="I85" s="7" t="s">
        <v>230</v>
      </c>
    </row>
    <row r="86" spans="1:9" ht="21" customHeight="1">
      <c r="A86" s="7" t="s">
        <v>48</v>
      </c>
      <c r="B86" s="7" t="s">
        <v>208</v>
      </c>
      <c r="C86" s="7" t="s">
        <v>340</v>
      </c>
      <c r="D86" s="7" t="s">
        <v>210</v>
      </c>
      <c r="E86" s="9">
        <v>148</v>
      </c>
      <c r="F86" s="9">
        <v>1</v>
      </c>
      <c r="G86" s="9">
        <v>0</v>
      </c>
      <c r="H86" s="11">
        <v>0</v>
      </c>
      <c r="I86" s="7" t="s">
        <v>208</v>
      </c>
    </row>
    <row r="87" spans="1:9" ht="21" customHeight="1">
      <c r="A87" s="7" t="s">
        <v>48</v>
      </c>
      <c r="B87" s="7" t="s">
        <v>211</v>
      </c>
      <c r="C87" s="7" t="s">
        <v>341</v>
      </c>
      <c r="D87" s="7" t="s">
        <v>213</v>
      </c>
      <c r="E87" s="9">
        <v>126</v>
      </c>
      <c r="F87" s="9">
        <v>0</v>
      </c>
      <c r="G87" s="9">
        <v>0</v>
      </c>
      <c r="H87" s="11">
        <v>0</v>
      </c>
      <c r="I87" s="7" t="s">
        <v>211</v>
      </c>
    </row>
    <row r="88" spans="1:9" ht="21" customHeight="1">
      <c r="A88" s="7" t="s">
        <v>48</v>
      </c>
      <c r="B88" s="7" t="s">
        <v>214</v>
      </c>
      <c r="C88" s="7" t="s">
        <v>215</v>
      </c>
      <c r="D88" s="7" t="s">
        <v>213</v>
      </c>
      <c r="E88" s="9">
        <v>1</v>
      </c>
      <c r="F88" s="9">
        <v>0</v>
      </c>
      <c r="G88" s="9">
        <v>0</v>
      </c>
      <c r="H88" s="11">
        <v>0</v>
      </c>
      <c r="I88" s="7" t="s">
        <v>214</v>
      </c>
    </row>
    <row r="89" spans="1:9" ht="21" customHeight="1">
      <c r="A89" s="7" t="s">
        <v>48</v>
      </c>
      <c r="B89" s="7" t="s">
        <v>218</v>
      </c>
      <c r="C89" s="7" t="s">
        <v>219</v>
      </c>
      <c r="D89" s="7" t="s">
        <v>213</v>
      </c>
      <c r="E89" s="9">
        <v>6</v>
      </c>
      <c r="F89" s="9">
        <v>0</v>
      </c>
      <c r="G89" s="9">
        <v>0</v>
      </c>
      <c r="H89" s="11">
        <v>0</v>
      </c>
      <c r="I89" s="7" t="s">
        <v>218</v>
      </c>
    </row>
    <row r="90" spans="1:9" ht="21" customHeight="1">
      <c r="A90" s="7" t="s">
        <v>48</v>
      </c>
      <c r="B90" s="7" t="s">
        <v>220</v>
      </c>
      <c r="C90" s="7" t="s">
        <v>342</v>
      </c>
      <c r="D90" s="7" t="s">
        <v>210</v>
      </c>
      <c r="E90" s="9">
        <v>52</v>
      </c>
      <c r="F90" s="9">
        <v>0</v>
      </c>
      <c r="G90" s="9">
        <v>0</v>
      </c>
      <c r="H90" s="11">
        <v>0</v>
      </c>
      <c r="I90" s="7" t="s">
        <v>220</v>
      </c>
    </row>
    <row r="91" spans="1:9" ht="21" customHeight="1">
      <c r="A91" s="7" t="s">
        <v>48</v>
      </c>
      <c r="B91" s="7" t="s">
        <v>222</v>
      </c>
      <c r="C91" s="7" t="s">
        <v>343</v>
      </c>
      <c r="D91" s="7" t="s">
        <v>210</v>
      </c>
      <c r="E91" s="9">
        <v>149</v>
      </c>
      <c r="F91" s="9">
        <v>3</v>
      </c>
      <c r="G91" s="9">
        <v>0</v>
      </c>
      <c r="H91" s="11">
        <v>0</v>
      </c>
      <c r="I91" s="7" t="s">
        <v>222</v>
      </c>
    </row>
    <row r="92" spans="1:9" ht="21" customHeight="1">
      <c r="A92" s="7" t="s">
        <v>48</v>
      </c>
      <c r="B92" s="7" t="s">
        <v>224</v>
      </c>
      <c r="C92" s="7" t="s">
        <v>225</v>
      </c>
      <c r="D92" s="7" t="s">
        <v>213</v>
      </c>
      <c r="E92" s="9">
        <v>28</v>
      </c>
      <c r="F92" s="9">
        <v>0</v>
      </c>
      <c r="G92" s="9">
        <v>0</v>
      </c>
      <c r="H92" s="11">
        <v>0</v>
      </c>
      <c r="I92" s="7" t="s">
        <v>224</v>
      </c>
    </row>
    <row r="93" spans="1:9" ht="21" customHeight="1">
      <c r="A93" s="7" t="s">
        <v>48</v>
      </c>
      <c r="B93" s="7" t="s">
        <v>226</v>
      </c>
      <c r="C93" s="7" t="s">
        <v>344</v>
      </c>
      <c r="D93" s="7" t="s">
        <v>210</v>
      </c>
      <c r="E93" s="9">
        <v>172</v>
      </c>
      <c r="F93" s="9">
        <v>1</v>
      </c>
      <c r="G93" s="9">
        <v>0</v>
      </c>
      <c r="H93" s="11">
        <v>0</v>
      </c>
      <c r="I93" s="7" t="s">
        <v>226</v>
      </c>
    </row>
    <row r="94" spans="1:9" ht="21" customHeight="1">
      <c r="A94" s="7" t="s">
        <v>48</v>
      </c>
      <c r="B94" s="7" t="s">
        <v>228</v>
      </c>
      <c r="C94" s="7" t="s">
        <v>345</v>
      </c>
      <c r="D94" s="7" t="s">
        <v>210</v>
      </c>
      <c r="E94" s="9">
        <v>89</v>
      </c>
      <c r="F94" s="9">
        <v>2</v>
      </c>
      <c r="G94" s="9">
        <v>0</v>
      </c>
      <c r="H94" s="11">
        <v>0</v>
      </c>
      <c r="I94" s="7" t="s">
        <v>228</v>
      </c>
    </row>
    <row r="95" spans="1:9" ht="21" customHeight="1">
      <c r="A95" s="7" t="s">
        <v>48</v>
      </c>
      <c r="B95" s="7" t="s">
        <v>346</v>
      </c>
      <c r="C95" s="7" t="s">
        <v>347</v>
      </c>
      <c r="D95" s="7" t="s">
        <v>213</v>
      </c>
      <c r="E95" s="9">
        <v>3</v>
      </c>
      <c r="F95" s="9">
        <v>0</v>
      </c>
      <c r="G95" s="9">
        <v>0</v>
      </c>
      <c r="H95" s="11">
        <v>0</v>
      </c>
      <c r="I95" s="7" t="s">
        <v>346</v>
      </c>
    </row>
    <row r="96" spans="1:9" ht="21" customHeight="1">
      <c r="A96" s="7" t="s">
        <v>48</v>
      </c>
      <c r="B96" s="7" t="s">
        <v>236</v>
      </c>
      <c r="C96" s="7" t="s">
        <v>237</v>
      </c>
      <c r="D96" s="7" t="s">
        <v>213</v>
      </c>
      <c r="E96" s="9">
        <v>3</v>
      </c>
      <c r="F96" s="9">
        <v>0</v>
      </c>
      <c r="G96" s="9">
        <v>0</v>
      </c>
      <c r="H96" s="11">
        <v>0</v>
      </c>
      <c r="I96" s="7" t="s">
        <v>236</v>
      </c>
    </row>
    <row r="97" spans="1:9" ht="21" customHeight="1">
      <c r="A97" s="7" t="s">
        <v>49</v>
      </c>
      <c r="B97" s="7" t="s">
        <v>348</v>
      </c>
      <c r="C97" s="7" t="s">
        <v>349</v>
      </c>
      <c r="D97" s="7" t="s">
        <v>61</v>
      </c>
      <c r="E97" s="9">
        <v>2</v>
      </c>
      <c r="F97" s="9">
        <v>0</v>
      </c>
      <c r="G97" s="9">
        <v>0</v>
      </c>
      <c r="H97" s="11">
        <v>-38017.499994999998</v>
      </c>
      <c r="I97" s="7" t="s">
        <v>348</v>
      </c>
    </row>
    <row r="98" spans="1:9" ht="21" customHeight="1">
      <c r="A98" s="7" t="s">
        <v>49</v>
      </c>
      <c r="B98" s="7" t="s">
        <v>350</v>
      </c>
      <c r="C98" s="7" t="s">
        <v>351</v>
      </c>
      <c r="D98" s="7" t="s">
        <v>242</v>
      </c>
      <c r="E98" s="9">
        <v>0</v>
      </c>
      <c r="F98" s="9">
        <v>0</v>
      </c>
      <c r="G98" s="9">
        <v>0</v>
      </c>
      <c r="H98" s="11">
        <v>-28331.999991000001</v>
      </c>
      <c r="I98" s="7" t="s">
        <v>350</v>
      </c>
    </row>
    <row r="99" spans="1:9" ht="21" customHeight="1">
      <c r="A99" s="7" t="s">
        <v>49</v>
      </c>
      <c r="B99" s="7" t="s">
        <v>352</v>
      </c>
      <c r="C99" s="7" t="s">
        <v>353</v>
      </c>
      <c r="D99" s="7" t="s">
        <v>61</v>
      </c>
      <c r="E99" s="9">
        <v>0</v>
      </c>
      <c r="F99" s="9">
        <v>0</v>
      </c>
      <c r="G99" s="9">
        <v>0</v>
      </c>
      <c r="H99" s="11">
        <v>-22002.000001</v>
      </c>
      <c r="I99" s="7" t="s">
        <v>352</v>
      </c>
    </row>
    <row r="100" spans="1:9" ht="21" customHeight="1">
      <c r="A100" s="7" t="s">
        <v>49</v>
      </c>
      <c r="B100" s="7" t="s">
        <v>354</v>
      </c>
      <c r="C100" s="7" t="s">
        <v>355</v>
      </c>
      <c r="D100" s="7" t="s">
        <v>61</v>
      </c>
      <c r="E100" s="9">
        <v>0</v>
      </c>
      <c r="F100" s="9">
        <v>0</v>
      </c>
      <c r="G100" s="9">
        <v>0</v>
      </c>
      <c r="H100" s="11">
        <v>-5100.2799990000003</v>
      </c>
      <c r="I100" s="7" t="s">
        <v>354</v>
      </c>
    </row>
    <row r="101" spans="1:9" ht="21" customHeight="1">
      <c r="A101" s="7" t="s">
        <v>49</v>
      </c>
      <c r="B101" s="7" t="s">
        <v>247</v>
      </c>
      <c r="C101" s="7" t="s">
        <v>356</v>
      </c>
      <c r="D101" s="7" t="s">
        <v>61</v>
      </c>
      <c r="E101" s="9">
        <v>10</v>
      </c>
      <c r="F101" s="9">
        <v>0</v>
      </c>
      <c r="G101" s="9">
        <v>0</v>
      </c>
      <c r="H101" s="11">
        <v>-3000.4300020000001</v>
      </c>
      <c r="I101" s="7" t="s">
        <v>247</v>
      </c>
    </row>
    <row r="102" spans="1:9" ht="21" customHeight="1">
      <c r="A102" s="7" t="s">
        <v>49</v>
      </c>
      <c r="B102" s="7" t="s">
        <v>245</v>
      </c>
      <c r="C102" s="7" t="s">
        <v>357</v>
      </c>
      <c r="D102" s="7" t="s">
        <v>61</v>
      </c>
      <c r="E102" s="9">
        <v>1</v>
      </c>
      <c r="F102" s="9">
        <v>0</v>
      </c>
      <c r="G102" s="9">
        <v>0</v>
      </c>
      <c r="H102" s="11">
        <v>-1400</v>
      </c>
      <c r="I102" s="7" t="s">
        <v>245</v>
      </c>
    </row>
    <row r="103" spans="1:9" ht="21" customHeight="1">
      <c r="A103" s="7" t="s">
        <v>49</v>
      </c>
      <c r="B103" s="7" t="s">
        <v>358</v>
      </c>
      <c r="C103" s="7" t="s">
        <v>359</v>
      </c>
      <c r="D103" s="7" t="s">
        <v>242</v>
      </c>
      <c r="E103" s="9">
        <v>0</v>
      </c>
      <c r="F103" s="9">
        <v>0</v>
      </c>
      <c r="G103" s="9">
        <v>0</v>
      </c>
      <c r="H103" s="11">
        <v>-748.999999</v>
      </c>
      <c r="I103" s="7" t="s">
        <v>358</v>
      </c>
    </row>
    <row r="104" spans="1:9" ht="21" customHeight="1">
      <c r="A104" s="7" t="s">
        <v>50</v>
      </c>
      <c r="B104" s="7" t="s">
        <v>360</v>
      </c>
      <c r="C104" s="7" t="s">
        <v>361</v>
      </c>
      <c r="D104" s="7" t="s">
        <v>250</v>
      </c>
      <c r="E104" s="9">
        <v>0</v>
      </c>
      <c r="F104" s="9">
        <v>0</v>
      </c>
      <c r="G104" s="9">
        <v>0</v>
      </c>
      <c r="H104" s="11">
        <v>-350.695088</v>
      </c>
      <c r="I104" s="7" t="s">
        <v>360</v>
      </c>
    </row>
    <row r="105" spans="1:9" ht="21" customHeight="1">
      <c r="A105" s="7" t="s">
        <v>50</v>
      </c>
      <c r="B105" s="7" t="s">
        <v>249</v>
      </c>
      <c r="C105" s="7" t="s">
        <v>249</v>
      </c>
      <c r="D105" s="7" t="s">
        <v>250</v>
      </c>
      <c r="E105" s="9">
        <v>6688</v>
      </c>
      <c r="F105" s="9">
        <v>0</v>
      </c>
      <c r="G105" s="9">
        <v>0</v>
      </c>
      <c r="H105" s="11">
        <v>0</v>
      </c>
      <c r="I105" s="7" t="s">
        <v>249</v>
      </c>
    </row>
    <row r="106" spans="1:9" ht="21" customHeight="1">
      <c r="A106" s="7" t="s">
        <v>50</v>
      </c>
      <c r="B106" s="7" t="s">
        <v>251</v>
      </c>
      <c r="C106" s="7" t="s">
        <v>252</v>
      </c>
      <c r="D106" s="7" t="s">
        <v>250</v>
      </c>
      <c r="E106" s="9">
        <v>12535</v>
      </c>
      <c r="F106" s="9">
        <v>13</v>
      </c>
      <c r="G106" s="9">
        <v>0</v>
      </c>
      <c r="H106" s="11">
        <v>0</v>
      </c>
      <c r="I106" s="7" t="s">
        <v>251</v>
      </c>
    </row>
    <row r="107" spans="1:9" ht="21" customHeight="1">
      <c r="A107" s="7" t="s">
        <v>50</v>
      </c>
      <c r="B107" s="7" t="s">
        <v>255</v>
      </c>
      <c r="C107" s="7" t="s">
        <v>362</v>
      </c>
      <c r="D107" s="7" t="s">
        <v>250</v>
      </c>
      <c r="E107" s="9">
        <v>318</v>
      </c>
      <c r="F107" s="9">
        <v>0</v>
      </c>
      <c r="G107" s="9">
        <v>57</v>
      </c>
      <c r="H107" s="11">
        <v>0</v>
      </c>
      <c r="I107" s="7" t="s">
        <v>255</v>
      </c>
    </row>
    <row r="108" spans="1:9" ht="21" customHeight="1">
      <c r="A108" s="7" t="s">
        <v>51</v>
      </c>
      <c r="B108" s="7" t="s">
        <v>363</v>
      </c>
      <c r="C108" s="7" t="s">
        <v>364</v>
      </c>
      <c r="D108" s="7" t="s">
        <v>259</v>
      </c>
      <c r="E108" s="9">
        <v>0</v>
      </c>
      <c r="F108" s="9">
        <v>0</v>
      </c>
      <c r="G108" s="9">
        <v>0</v>
      </c>
      <c r="H108" s="11">
        <v>-2433.88</v>
      </c>
      <c r="I108" s="7" t="s">
        <v>363</v>
      </c>
    </row>
    <row r="109" spans="1:9" ht="21" customHeight="1">
      <c r="A109" s="7" t="s">
        <v>51</v>
      </c>
      <c r="B109" s="7" t="s">
        <v>365</v>
      </c>
      <c r="C109" s="7" t="s">
        <v>366</v>
      </c>
      <c r="D109" s="7" t="s">
        <v>259</v>
      </c>
      <c r="E109" s="9">
        <v>0</v>
      </c>
      <c r="F109" s="9">
        <v>0</v>
      </c>
      <c r="G109" s="9">
        <v>0</v>
      </c>
      <c r="H109" s="11">
        <v>-1714.9818789999999</v>
      </c>
      <c r="I109" s="7" t="s">
        <v>365</v>
      </c>
    </row>
    <row r="110" spans="1:9" ht="21" customHeight="1">
      <c r="A110" s="7" t="s">
        <v>51</v>
      </c>
      <c r="B110" s="7" t="s">
        <v>367</v>
      </c>
      <c r="C110" s="7" t="s">
        <v>368</v>
      </c>
      <c r="D110" s="7" t="s">
        <v>259</v>
      </c>
      <c r="E110" s="9">
        <v>0</v>
      </c>
      <c r="F110" s="9">
        <v>0</v>
      </c>
      <c r="G110" s="9">
        <v>0</v>
      </c>
      <c r="H110" s="11">
        <v>-1614.9999989999999</v>
      </c>
      <c r="I110" s="7" t="s">
        <v>367</v>
      </c>
    </row>
    <row r="111" spans="1:9" ht="21" customHeight="1">
      <c r="A111" s="7" t="s">
        <v>51</v>
      </c>
      <c r="B111" s="7" t="s">
        <v>369</v>
      </c>
      <c r="C111" s="7" t="s">
        <v>370</v>
      </c>
      <c r="D111" s="7" t="s">
        <v>259</v>
      </c>
      <c r="E111" s="9">
        <v>0</v>
      </c>
      <c r="F111" s="9">
        <v>0</v>
      </c>
      <c r="G111" s="9">
        <v>0</v>
      </c>
      <c r="H111" s="11">
        <v>-1400</v>
      </c>
      <c r="I111" s="7" t="s">
        <v>369</v>
      </c>
    </row>
    <row r="112" spans="1:9" ht="21" customHeight="1">
      <c r="A112" s="7" t="s">
        <v>51</v>
      </c>
      <c r="B112" s="7" t="s">
        <v>371</v>
      </c>
      <c r="C112" s="7" t="s">
        <v>372</v>
      </c>
      <c r="D112" s="7" t="s">
        <v>259</v>
      </c>
      <c r="E112" s="9">
        <v>0</v>
      </c>
      <c r="F112" s="9">
        <v>0</v>
      </c>
      <c r="G112" s="9">
        <v>0</v>
      </c>
      <c r="H112" s="11">
        <v>-1285.7499989999999</v>
      </c>
      <c r="I112" s="7" t="s">
        <v>371</v>
      </c>
    </row>
    <row r="113" spans="1:9" ht="21" customHeight="1">
      <c r="A113" s="7" t="s">
        <v>51</v>
      </c>
      <c r="B113" s="7" t="s">
        <v>373</v>
      </c>
      <c r="C113" s="7" t="s">
        <v>374</v>
      </c>
      <c r="D113" s="7" t="s">
        <v>259</v>
      </c>
      <c r="E113" s="9">
        <v>0</v>
      </c>
      <c r="F113" s="9">
        <v>0</v>
      </c>
      <c r="G113" s="9">
        <v>0</v>
      </c>
      <c r="H113" s="11">
        <v>-1148.9999969999999</v>
      </c>
      <c r="I113" s="7" t="s">
        <v>373</v>
      </c>
    </row>
    <row r="114" spans="1:9" ht="21" customHeight="1">
      <c r="A114" s="7" t="s">
        <v>51</v>
      </c>
      <c r="B114" s="7" t="s">
        <v>375</v>
      </c>
      <c r="C114" s="7" t="s">
        <v>376</v>
      </c>
      <c r="D114" s="7" t="s">
        <v>259</v>
      </c>
      <c r="E114" s="9">
        <v>0</v>
      </c>
      <c r="F114" s="9">
        <v>0</v>
      </c>
      <c r="G114" s="9">
        <v>0</v>
      </c>
      <c r="H114" s="11">
        <v>-990.93672400000003</v>
      </c>
      <c r="I114" s="7" t="s">
        <v>375</v>
      </c>
    </row>
    <row r="115" spans="1:9" ht="21" customHeight="1">
      <c r="A115" s="7" t="s">
        <v>51</v>
      </c>
      <c r="B115" s="7" t="s">
        <v>377</v>
      </c>
      <c r="C115" s="7" t="s">
        <v>378</v>
      </c>
      <c r="D115" s="7" t="s">
        <v>259</v>
      </c>
      <c r="E115" s="9">
        <v>0</v>
      </c>
      <c r="F115" s="9">
        <v>0</v>
      </c>
      <c r="G115" s="9">
        <v>0</v>
      </c>
      <c r="H115" s="11">
        <v>-981.193715</v>
      </c>
      <c r="I115" s="7" t="s">
        <v>377</v>
      </c>
    </row>
    <row r="116" spans="1:9" ht="21" customHeight="1">
      <c r="A116" s="7" t="s">
        <v>51</v>
      </c>
      <c r="B116" s="7" t="s">
        <v>379</v>
      </c>
      <c r="C116" s="7" t="s">
        <v>380</v>
      </c>
      <c r="D116" s="7" t="s">
        <v>259</v>
      </c>
      <c r="E116" s="9">
        <v>0</v>
      </c>
      <c r="F116" s="9">
        <v>0</v>
      </c>
      <c r="G116" s="9">
        <v>0</v>
      </c>
      <c r="H116" s="11">
        <v>-942.49999600000001</v>
      </c>
      <c r="I116" s="7" t="s">
        <v>379</v>
      </c>
    </row>
    <row r="117" spans="1:9" ht="21" customHeight="1">
      <c r="A117" s="7" t="s">
        <v>51</v>
      </c>
      <c r="B117" s="7" t="s">
        <v>381</v>
      </c>
      <c r="C117" s="7" t="s">
        <v>382</v>
      </c>
      <c r="D117" s="7" t="s">
        <v>259</v>
      </c>
      <c r="E117" s="9">
        <v>0</v>
      </c>
      <c r="F117" s="9">
        <v>0</v>
      </c>
      <c r="G117" s="9">
        <v>0</v>
      </c>
      <c r="H117" s="11">
        <v>-900.00000299999999</v>
      </c>
      <c r="I117" s="7" t="s">
        <v>381</v>
      </c>
    </row>
    <row r="118" spans="1:9" ht="21" customHeight="1">
      <c r="A118" s="7" t="s">
        <v>51</v>
      </c>
      <c r="B118" s="7" t="s">
        <v>383</v>
      </c>
      <c r="C118" s="7" t="s">
        <v>384</v>
      </c>
      <c r="D118" s="7" t="s">
        <v>259</v>
      </c>
      <c r="E118" s="9">
        <v>0</v>
      </c>
      <c r="F118" s="9">
        <v>0</v>
      </c>
      <c r="G118" s="9">
        <v>0</v>
      </c>
      <c r="H118" s="11">
        <v>-838.38239999999996</v>
      </c>
      <c r="I118" s="7" t="s">
        <v>383</v>
      </c>
    </row>
    <row r="119" spans="1:9" ht="21" customHeight="1">
      <c r="A119" s="7" t="s">
        <v>51</v>
      </c>
      <c r="B119" s="7" t="s">
        <v>385</v>
      </c>
      <c r="C119" s="7" t="s">
        <v>386</v>
      </c>
      <c r="D119" s="7" t="s">
        <v>259</v>
      </c>
      <c r="E119" s="9">
        <v>0</v>
      </c>
      <c r="F119" s="9">
        <v>0</v>
      </c>
      <c r="G119" s="9">
        <v>0</v>
      </c>
      <c r="H119" s="11">
        <v>-740</v>
      </c>
      <c r="I119" s="7" t="s">
        <v>385</v>
      </c>
    </row>
    <row r="120" spans="1:9" ht="21" customHeight="1">
      <c r="A120" s="7" t="s">
        <v>51</v>
      </c>
      <c r="B120" s="7" t="s">
        <v>387</v>
      </c>
      <c r="C120" s="7" t="s">
        <v>388</v>
      </c>
      <c r="D120" s="7" t="s">
        <v>259</v>
      </c>
      <c r="E120" s="9">
        <v>0</v>
      </c>
      <c r="F120" s="9">
        <v>0</v>
      </c>
      <c r="G120" s="9">
        <v>0</v>
      </c>
      <c r="H120" s="11">
        <v>-685.500001</v>
      </c>
      <c r="I120" s="7" t="s">
        <v>387</v>
      </c>
    </row>
    <row r="121" spans="1:9" ht="21" customHeight="1">
      <c r="A121" s="7" t="s">
        <v>51</v>
      </c>
      <c r="B121" s="7" t="s">
        <v>389</v>
      </c>
      <c r="C121" s="7" t="s">
        <v>390</v>
      </c>
      <c r="D121" s="7" t="s">
        <v>259</v>
      </c>
      <c r="E121" s="9">
        <v>0</v>
      </c>
      <c r="F121" s="9">
        <v>0</v>
      </c>
      <c r="G121" s="9">
        <v>0</v>
      </c>
      <c r="H121" s="11">
        <v>-679.999999</v>
      </c>
      <c r="I121" s="7" t="s">
        <v>389</v>
      </c>
    </row>
    <row r="122" spans="1:9" ht="21" customHeight="1">
      <c r="A122" s="7" t="s">
        <v>51</v>
      </c>
      <c r="B122" s="7" t="s">
        <v>391</v>
      </c>
      <c r="C122" s="7" t="s">
        <v>392</v>
      </c>
      <c r="D122" s="7" t="s">
        <v>259</v>
      </c>
      <c r="E122" s="9">
        <v>0</v>
      </c>
      <c r="F122" s="9">
        <v>0</v>
      </c>
      <c r="G122" s="9">
        <v>0</v>
      </c>
      <c r="H122" s="11">
        <v>-622.69999499999994</v>
      </c>
      <c r="I122" s="7" t="s">
        <v>391</v>
      </c>
    </row>
    <row r="123" spans="1:9" ht="21" customHeight="1">
      <c r="A123" s="7" t="s">
        <v>51</v>
      </c>
      <c r="B123" s="7" t="s">
        <v>393</v>
      </c>
      <c r="C123" s="7" t="s">
        <v>394</v>
      </c>
      <c r="D123" s="7" t="s">
        <v>259</v>
      </c>
      <c r="E123" s="9">
        <v>0</v>
      </c>
      <c r="F123" s="9">
        <v>0</v>
      </c>
      <c r="G123" s="9">
        <v>0</v>
      </c>
      <c r="H123" s="11">
        <v>-580</v>
      </c>
      <c r="I123" s="7" t="s">
        <v>393</v>
      </c>
    </row>
    <row r="124" spans="1:9" ht="21" customHeight="1">
      <c r="A124" s="7" t="s">
        <v>51</v>
      </c>
      <c r="B124" s="7" t="s">
        <v>395</v>
      </c>
      <c r="C124" s="7" t="s">
        <v>396</v>
      </c>
      <c r="D124" s="7" t="s">
        <v>259</v>
      </c>
      <c r="E124" s="9">
        <v>0</v>
      </c>
      <c r="F124" s="9">
        <v>0</v>
      </c>
      <c r="G124" s="9">
        <v>0</v>
      </c>
      <c r="H124" s="11">
        <v>-575</v>
      </c>
      <c r="I124" s="7" t="s">
        <v>395</v>
      </c>
    </row>
    <row r="125" spans="1:9" ht="21" customHeight="1">
      <c r="A125" s="7" t="s">
        <v>51</v>
      </c>
      <c r="B125" s="7" t="s">
        <v>397</v>
      </c>
      <c r="C125" s="7" t="s">
        <v>398</v>
      </c>
      <c r="D125" s="7" t="s">
        <v>259</v>
      </c>
      <c r="E125" s="9">
        <v>0</v>
      </c>
      <c r="F125" s="9">
        <v>0</v>
      </c>
      <c r="G125" s="9">
        <v>0</v>
      </c>
      <c r="H125" s="11">
        <v>-460.00000299999999</v>
      </c>
      <c r="I125" s="7" t="s">
        <v>397</v>
      </c>
    </row>
    <row r="126" spans="1:9" ht="21" customHeight="1">
      <c r="A126" s="7" t="s">
        <v>51</v>
      </c>
      <c r="B126" s="7" t="s">
        <v>399</v>
      </c>
      <c r="C126" s="7" t="s">
        <v>400</v>
      </c>
      <c r="D126" s="7" t="s">
        <v>259</v>
      </c>
      <c r="E126" s="9">
        <v>0</v>
      </c>
      <c r="F126" s="9">
        <v>0</v>
      </c>
      <c r="G126" s="9">
        <v>0</v>
      </c>
      <c r="H126" s="11">
        <v>-424.99999400000002</v>
      </c>
      <c r="I126" s="7" t="s">
        <v>399</v>
      </c>
    </row>
    <row r="127" spans="1:9" ht="21" customHeight="1">
      <c r="A127" s="7" t="s">
        <v>51</v>
      </c>
      <c r="B127" s="7" t="s">
        <v>401</v>
      </c>
      <c r="C127" s="7" t="s">
        <v>402</v>
      </c>
      <c r="D127" s="7" t="s">
        <v>259</v>
      </c>
      <c r="E127" s="9">
        <v>0</v>
      </c>
      <c r="F127" s="9">
        <v>0</v>
      </c>
      <c r="G127" s="9">
        <v>0</v>
      </c>
      <c r="H127" s="11">
        <v>-344.99999800000001</v>
      </c>
      <c r="I127" s="7" t="s">
        <v>401</v>
      </c>
    </row>
    <row r="128" spans="1:9" ht="21" customHeight="1">
      <c r="A128" s="7" t="s">
        <v>51</v>
      </c>
      <c r="B128" s="7" t="s">
        <v>257</v>
      </c>
      <c r="C128" s="7" t="s">
        <v>403</v>
      </c>
      <c r="D128" s="7" t="s">
        <v>259</v>
      </c>
      <c r="E128" s="9">
        <v>41</v>
      </c>
      <c r="F128" s="9">
        <v>1</v>
      </c>
      <c r="G128" s="9">
        <v>0</v>
      </c>
      <c r="H128" s="11">
        <v>-343.462288</v>
      </c>
      <c r="I128" s="7" t="s">
        <v>257</v>
      </c>
    </row>
    <row r="129" spans="1:9" ht="21" customHeight="1">
      <c r="A129" s="7" t="s">
        <v>51</v>
      </c>
      <c r="B129" s="7" t="s">
        <v>404</v>
      </c>
      <c r="C129" s="7" t="s">
        <v>405</v>
      </c>
      <c r="D129" s="7" t="s">
        <v>259</v>
      </c>
      <c r="E129" s="9">
        <v>0</v>
      </c>
      <c r="F129" s="9">
        <v>0</v>
      </c>
      <c r="G129" s="9">
        <v>0</v>
      </c>
      <c r="H129" s="11">
        <v>-195.49999800000001</v>
      </c>
      <c r="I129" s="7" t="s">
        <v>404</v>
      </c>
    </row>
    <row r="130" spans="1:9" ht="21" customHeight="1">
      <c r="A130" s="7" t="s">
        <v>51</v>
      </c>
      <c r="B130" s="7" t="s">
        <v>406</v>
      </c>
      <c r="C130" s="7" t="s">
        <v>407</v>
      </c>
      <c r="D130" s="7" t="s">
        <v>259</v>
      </c>
      <c r="E130" s="9">
        <v>0</v>
      </c>
      <c r="F130" s="9">
        <v>0</v>
      </c>
      <c r="G130" s="9">
        <v>0</v>
      </c>
      <c r="H130" s="11">
        <v>-195</v>
      </c>
      <c r="I130" s="7" t="s">
        <v>406</v>
      </c>
    </row>
    <row r="131" spans="1:9" ht="21" customHeight="1">
      <c r="A131" s="7" t="s">
        <v>51</v>
      </c>
      <c r="B131" s="7" t="s">
        <v>408</v>
      </c>
      <c r="C131" s="7" t="s">
        <v>409</v>
      </c>
      <c r="D131" s="7" t="s">
        <v>259</v>
      </c>
      <c r="E131" s="9">
        <v>0</v>
      </c>
      <c r="F131" s="9">
        <v>0</v>
      </c>
      <c r="G131" s="9">
        <v>0</v>
      </c>
      <c r="H131" s="11">
        <v>-173.999999</v>
      </c>
      <c r="I131" s="7" t="s">
        <v>408</v>
      </c>
    </row>
    <row r="132" spans="1:9" ht="21" customHeight="1">
      <c r="A132" s="7" t="s">
        <v>51</v>
      </c>
      <c r="B132" s="7" t="s">
        <v>410</v>
      </c>
      <c r="C132" s="7" t="s">
        <v>411</v>
      </c>
      <c r="D132" s="7" t="s">
        <v>259</v>
      </c>
      <c r="E132" s="9">
        <v>0</v>
      </c>
      <c r="F132" s="9">
        <v>0</v>
      </c>
      <c r="G132" s="9">
        <v>0</v>
      </c>
      <c r="H132" s="11">
        <v>-149.500001</v>
      </c>
      <c r="I132" s="7" t="s">
        <v>410</v>
      </c>
    </row>
    <row r="133" spans="1:9" ht="21" customHeight="1">
      <c r="A133" s="7" t="s">
        <v>51</v>
      </c>
      <c r="B133" s="7" t="s">
        <v>412</v>
      </c>
      <c r="C133" s="7" t="s">
        <v>413</v>
      </c>
      <c r="D133" s="7" t="s">
        <v>259</v>
      </c>
      <c r="E133" s="9">
        <v>0</v>
      </c>
      <c r="F133" s="9">
        <v>0</v>
      </c>
      <c r="G133" s="9">
        <v>0</v>
      </c>
      <c r="H133" s="11">
        <v>-124.500001</v>
      </c>
      <c r="I133" s="7" t="s">
        <v>412</v>
      </c>
    </row>
    <row r="134" spans="1:9" ht="21" customHeight="1">
      <c r="A134" s="7" t="s">
        <v>51</v>
      </c>
      <c r="B134" s="7" t="s">
        <v>414</v>
      </c>
      <c r="C134" s="7" t="s">
        <v>415</v>
      </c>
      <c r="D134" s="7" t="s">
        <v>259</v>
      </c>
      <c r="E134" s="9">
        <v>0</v>
      </c>
      <c r="F134" s="9">
        <v>0</v>
      </c>
      <c r="G134" s="9">
        <v>0</v>
      </c>
      <c r="H134" s="11">
        <v>-107.15683</v>
      </c>
      <c r="I134" s="7" t="s">
        <v>414</v>
      </c>
    </row>
    <row r="135" spans="1:9" ht="21" customHeight="1">
      <c r="A135" s="7" t="s">
        <v>52</v>
      </c>
      <c r="B135" s="7" t="s">
        <v>416</v>
      </c>
      <c r="C135" s="7" t="s">
        <v>416</v>
      </c>
      <c r="D135" s="7" t="s">
        <v>262</v>
      </c>
      <c r="E135" s="9">
        <v>2</v>
      </c>
      <c r="F135" s="9">
        <v>0</v>
      </c>
      <c r="G135" s="9">
        <v>0</v>
      </c>
      <c r="H135" s="11">
        <v>0</v>
      </c>
      <c r="I135" s="7" t="s">
        <v>416</v>
      </c>
    </row>
    <row r="136" spans="1:9" ht="21" customHeight="1">
      <c r="A136" s="7" t="s">
        <v>52</v>
      </c>
      <c r="B136" s="7" t="s">
        <v>260</v>
      </c>
      <c r="C136" s="7" t="s">
        <v>417</v>
      </c>
      <c r="D136" s="7" t="s">
        <v>262</v>
      </c>
      <c r="E136" s="9">
        <v>1777</v>
      </c>
      <c r="F136" s="9">
        <v>125</v>
      </c>
      <c r="G136" s="9">
        <v>0</v>
      </c>
      <c r="H136" s="11">
        <v>0</v>
      </c>
      <c r="I136" s="7" t="s">
        <v>260</v>
      </c>
    </row>
    <row r="137" spans="1:9" ht="21" customHeight="1">
      <c r="A137" s="7" t="s">
        <v>52</v>
      </c>
      <c r="B137" s="7" t="s">
        <v>263</v>
      </c>
      <c r="C137" s="7" t="s">
        <v>418</v>
      </c>
      <c r="D137" s="7" t="s">
        <v>262</v>
      </c>
      <c r="E137" s="9">
        <v>1212</v>
      </c>
      <c r="F137" s="9">
        <v>78</v>
      </c>
      <c r="G137" s="9">
        <v>0</v>
      </c>
      <c r="H137" s="11">
        <v>0</v>
      </c>
      <c r="I137" s="7" t="s">
        <v>263</v>
      </c>
    </row>
    <row r="138" spans="1:9" ht="21" customHeight="1">
      <c r="A138" s="7" t="s">
        <v>52</v>
      </c>
      <c r="B138" s="7" t="s">
        <v>265</v>
      </c>
      <c r="C138" s="7" t="s">
        <v>419</v>
      </c>
      <c r="D138" s="7" t="s">
        <v>262</v>
      </c>
      <c r="E138" s="9">
        <v>139</v>
      </c>
      <c r="F138" s="9">
        <v>12</v>
      </c>
      <c r="G138" s="9">
        <v>0</v>
      </c>
      <c r="H138" s="11">
        <v>0</v>
      </c>
      <c r="I138" s="7" t="s">
        <v>265</v>
      </c>
    </row>
    <row r="139" spans="1:9" ht="21" customHeight="1">
      <c r="A139" s="7" t="s">
        <v>52</v>
      </c>
      <c r="B139" s="7" t="s">
        <v>267</v>
      </c>
      <c r="C139" s="7" t="s">
        <v>420</v>
      </c>
      <c r="D139" s="7" t="s">
        <v>262</v>
      </c>
      <c r="E139" s="9">
        <v>13</v>
      </c>
      <c r="F139" s="9">
        <v>0</v>
      </c>
      <c r="G139" s="9">
        <v>0</v>
      </c>
      <c r="H139" s="11">
        <v>0</v>
      </c>
      <c r="I139" s="7" t="s">
        <v>267</v>
      </c>
    </row>
    <row r="140" spans="1:9" ht="21" customHeight="1">
      <c r="A140" s="7" t="s">
        <v>52</v>
      </c>
      <c r="B140" s="7" t="s">
        <v>268</v>
      </c>
      <c r="C140" s="7" t="s">
        <v>268</v>
      </c>
      <c r="D140" s="7" t="s">
        <v>262</v>
      </c>
      <c r="E140" s="9">
        <v>5</v>
      </c>
      <c r="F140" s="9">
        <v>0</v>
      </c>
      <c r="G140" s="9">
        <v>0</v>
      </c>
      <c r="H140" s="11">
        <v>0</v>
      </c>
      <c r="I140" s="7" t="s">
        <v>268</v>
      </c>
    </row>
    <row r="141" spans="1:9" ht="21" customHeight="1">
      <c r="A141" s="7" t="s">
        <v>52</v>
      </c>
      <c r="B141" s="7" t="s">
        <v>269</v>
      </c>
      <c r="C141" s="7" t="s">
        <v>421</v>
      </c>
      <c r="D141" s="7" t="s">
        <v>262</v>
      </c>
      <c r="E141" s="9">
        <v>68</v>
      </c>
      <c r="F141" s="9">
        <v>0</v>
      </c>
      <c r="G141" s="9">
        <v>0</v>
      </c>
      <c r="H141" s="11">
        <v>0</v>
      </c>
      <c r="I141" s="7" t="s">
        <v>269</v>
      </c>
    </row>
    <row r="142" spans="1:9" ht="21" customHeight="1">
      <c r="A142" s="7" t="s">
        <v>52</v>
      </c>
      <c r="B142" s="7" t="s">
        <v>271</v>
      </c>
      <c r="C142" s="7" t="s">
        <v>272</v>
      </c>
      <c r="D142" s="7" t="s">
        <v>262</v>
      </c>
      <c r="E142" s="9">
        <v>1</v>
      </c>
      <c r="F142" s="9">
        <v>0</v>
      </c>
      <c r="G142" s="9">
        <v>0</v>
      </c>
      <c r="H142" s="11">
        <v>0</v>
      </c>
      <c r="I142" s="7" t="s">
        <v>271</v>
      </c>
    </row>
    <row r="143" spans="1:9" ht="21" customHeight="1">
      <c r="A143" s="7" t="s">
        <v>52</v>
      </c>
      <c r="B143" s="7" t="s">
        <v>273</v>
      </c>
      <c r="C143" s="7" t="s">
        <v>422</v>
      </c>
      <c r="D143" s="7" t="s">
        <v>262</v>
      </c>
      <c r="E143" s="9">
        <v>1664</v>
      </c>
      <c r="F143" s="9">
        <v>135</v>
      </c>
      <c r="G143" s="9">
        <v>0</v>
      </c>
      <c r="H143" s="11">
        <v>0</v>
      </c>
      <c r="I143" s="7" t="s">
        <v>273</v>
      </c>
    </row>
    <row r="144" spans="1:9" ht="21" customHeight="1">
      <c r="A144" s="7" t="s">
        <v>52</v>
      </c>
      <c r="B144" s="7" t="s">
        <v>275</v>
      </c>
      <c r="C144" s="7" t="s">
        <v>275</v>
      </c>
      <c r="D144" s="7" t="s">
        <v>262</v>
      </c>
      <c r="E144" s="9">
        <v>16</v>
      </c>
      <c r="F144" s="9">
        <v>0</v>
      </c>
      <c r="G144" s="9">
        <v>0</v>
      </c>
      <c r="H144" s="11">
        <v>0</v>
      </c>
      <c r="I144" s="7" t="s">
        <v>275</v>
      </c>
    </row>
    <row r="145" spans="1:9" ht="21" customHeight="1">
      <c r="A145" s="7" t="s">
        <v>52</v>
      </c>
      <c r="B145" s="7" t="s">
        <v>277</v>
      </c>
      <c r="C145" s="7" t="s">
        <v>423</v>
      </c>
      <c r="D145" s="7" t="s">
        <v>262</v>
      </c>
      <c r="E145" s="9">
        <v>240</v>
      </c>
      <c r="F145" s="9">
        <v>11</v>
      </c>
      <c r="G145" s="9">
        <v>0</v>
      </c>
      <c r="H145" s="11">
        <v>0</v>
      </c>
      <c r="I145" s="7" t="s">
        <v>277</v>
      </c>
    </row>
    <row r="146" spans="1:9" ht="21" customHeight="1">
      <c r="A146" s="7" t="s">
        <v>52</v>
      </c>
      <c r="B146" s="7" t="s">
        <v>279</v>
      </c>
      <c r="C146" s="7" t="s">
        <v>279</v>
      </c>
      <c r="D146" s="7" t="s">
        <v>262</v>
      </c>
      <c r="E146" s="9">
        <v>4</v>
      </c>
      <c r="F146" s="9">
        <v>0</v>
      </c>
      <c r="G146" s="9">
        <v>0</v>
      </c>
      <c r="H146" s="11">
        <v>0</v>
      </c>
      <c r="I146" s="7" t="s">
        <v>279</v>
      </c>
    </row>
    <row r="147" spans="1:9" ht="21" customHeight="1">
      <c r="A147" s="7" t="s">
        <v>52</v>
      </c>
      <c r="B147" s="7" t="s">
        <v>280</v>
      </c>
      <c r="C147" s="7" t="s">
        <v>280</v>
      </c>
      <c r="D147" s="7" t="s">
        <v>262</v>
      </c>
      <c r="E147" s="9">
        <v>2</v>
      </c>
      <c r="F147" s="9">
        <v>0</v>
      </c>
      <c r="G147" s="9">
        <v>0</v>
      </c>
      <c r="H147" s="11">
        <v>0</v>
      </c>
      <c r="I147" s="7" t="s">
        <v>280</v>
      </c>
    </row>
    <row r="148" spans="1:9" ht="21" customHeight="1">
      <c r="A148" s="7" t="s">
        <v>52</v>
      </c>
      <c r="B148" s="7" t="s">
        <v>281</v>
      </c>
      <c r="C148" s="7" t="s">
        <v>424</v>
      </c>
      <c r="D148" s="7" t="s">
        <v>262</v>
      </c>
      <c r="E148" s="9">
        <v>52</v>
      </c>
      <c r="F148" s="9">
        <v>0</v>
      </c>
      <c r="G148" s="9">
        <v>0</v>
      </c>
      <c r="H148" s="11">
        <v>0</v>
      </c>
      <c r="I148" s="7" t="s">
        <v>281</v>
      </c>
    </row>
    <row r="149" spans="1:9" ht="21" customHeight="1">
      <c r="A149" s="7" t="s">
        <v>52</v>
      </c>
      <c r="B149" s="7" t="s">
        <v>283</v>
      </c>
      <c r="C149" s="7" t="s">
        <v>425</v>
      </c>
      <c r="D149" s="7" t="s">
        <v>262</v>
      </c>
      <c r="E149" s="9">
        <v>9</v>
      </c>
      <c r="F149" s="9">
        <v>0</v>
      </c>
      <c r="G149" s="9">
        <v>0</v>
      </c>
      <c r="H149" s="11">
        <v>0</v>
      </c>
      <c r="I149" s="7" t="s">
        <v>283</v>
      </c>
    </row>
    <row r="150" spans="1:9" ht="21" customHeight="1">
      <c r="A150" s="7" t="s">
        <v>52</v>
      </c>
      <c r="B150" s="7" t="s">
        <v>286</v>
      </c>
      <c r="C150" s="7" t="s">
        <v>426</v>
      </c>
      <c r="D150" s="7" t="s">
        <v>262</v>
      </c>
      <c r="E150" s="9">
        <v>25</v>
      </c>
      <c r="F150" s="9">
        <v>0</v>
      </c>
      <c r="G150" s="9">
        <v>0</v>
      </c>
      <c r="H150" s="11">
        <v>0</v>
      </c>
      <c r="I150" s="7" t="s">
        <v>286</v>
      </c>
    </row>
    <row r="151" spans="1:9" ht="21" customHeight="1">
      <c r="A151" s="8" t="s">
        <v>52</v>
      </c>
      <c r="B151" s="8" t="s">
        <v>427</v>
      </c>
      <c r="C151" s="8" t="s">
        <v>427</v>
      </c>
      <c r="D151" s="8" t="s">
        <v>262</v>
      </c>
      <c r="E151" s="10">
        <v>2</v>
      </c>
      <c r="F151" s="10">
        <v>0</v>
      </c>
      <c r="G151" s="10">
        <v>0</v>
      </c>
      <c r="H151" s="12">
        <v>0</v>
      </c>
      <c r="I151" s="8" t="s">
        <v>427</v>
      </c>
    </row>
    <row r="153" spans="1:9">
      <c r="A153" s="21" t="s">
        <v>288</v>
      </c>
      <c r="B153" s="22"/>
      <c r="C153" s="22"/>
      <c r="D153" s="22"/>
      <c r="E153" s="13">
        <f>SUM(E6:E151)</f>
        <v>926205</v>
      </c>
      <c r="F153" s="13">
        <f>SUM(F6:F151)</f>
        <v>66930</v>
      </c>
      <c r="G153" s="13">
        <f>SUM(G6:G151)</f>
        <v>2020</v>
      </c>
      <c r="H153" s="14">
        <f>SUM(H6:H151)</f>
        <v>1795755.3992410004</v>
      </c>
    </row>
  </sheetData>
  <mergeCells count="1">
    <mergeCell ref="A153:D15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A3AF"/>
  </sheetPr>
  <dimension ref="A1:I1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29" customWidth="1"/>
    <col min="2" max="2" width="31" customWidth="1"/>
    <col min="3" max="3" width="48" customWidth="1"/>
    <col min="4" max="4" width="29" customWidth="1"/>
    <col min="5" max="7" width="17" customWidth="1"/>
    <col min="8" max="8" width="20" customWidth="1"/>
    <col min="9" max="9" width="38" customWidth="1"/>
  </cols>
  <sheetData>
    <row r="1" spans="1:9" ht="8" customHeight="1"/>
    <row r="2" spans="1:9" ht="19">
      <c r="A2" s="1" t="s">
        <v>428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429</v>
      </c>
    </row>
    <row r="5" spans="1:9" ht="30" customHeight="1">
      <c r="A5" s="4" t="s">
        <v>35</v>
      </c>
      <c r="B5" s="5" t="s">
        <v>55</v>
      </c>
      <c r="C5" s="5" t="s">
        <v>56</v>
      </c>
      <c r="D5" s="5" t="s">
        <v>57</v>
      </c>
      <c r="E5" s="5" t="s">
        <v>36</v>
      </c>
      <c r="F5" s="5" t="s">
        <v>37</v>
      </c>
      <c r="G5" s="5" t="s">
        <v>38</v>
      </c>
      <c r="H5" s="5" t="s">
        <v>39</v>
      </c>
      <c r="I5" s="6" t="s">
        <v>58</v>
      </c>
    </row>
    <row r="6" spans="1:9" ht="21" customHeight="1">
      <c r="A6" s="7" t="s">
        <v>41</v>
      </c>
      <c r="B6" s="7" t="s">
        <v>59</v>
      </c>
      <c r="C6" s="7" t="s">
        <v>60</v>
      </c>
      <c r="D6" s="7" t="s">
        <v>61</v>
      </c>
      <c r="E6" s="9">
        <v>260177</v>
      </c>
      <c r="F6" s="9">
        <v>17449</v>
      </c>
      <c r="G6" s="9">
        <v>644</v>
      </c>
      <c r="H6" s="11">
        <v>938346.46441599994</v>
      </c>
      <c r="I6" s="7" t="s">
        <v>59</v>
      </c>
    </row>
    <row r="7" spans="1:9" ht="21" customHeight="1">
      <c r="A7" s="7" t="s">
        <v>41</v>
      </c>
      <c r="B7" s="7" t="s">
        <v>62</v>
      </c>
      <c r="C7" s="7" t="s">
        <v>63</v>
      </c>
      <c r="D7" s="7" t="s">
        <v>61</v>
      </c>
      <c r="E7" s="9">
        <v>126675</v>
      </c>
      <c r="F7" s="9">
        <v>5321</v>
      </c>
      <c r="G7" s="9">
        <v>68</v>
      </c>
      <c r="H7" s="11">
        <v>350363.92444199999</v>
      </c>
      <c r="I7" s="7" t="s">
        <v>62</v>
      </c>
    </row>
    <row r="8" spans="1:9" ht="21" customHeight="1">
      <c r="A8" s="7" t="s">
        <v>41</v>
      </c>
      <c r="B8" s="7" t="s">
        <v>64</v>
      </c>
      <c r="C8" s="7" t="s">
        <v>65</v>
      </c>
      <c r="D8" s="7" t="s">
        <v>61</v>
      </c>
      <c r="E8" s="9">
        <v>119096</v>
      </c>
      <c r="F8" s="9">
        <v>5880</v>
      </c>
      <c r="G8" s="9">
        <v>57</v>
      </c>
      <c r="H8" s="11">
        <v>263162.78602399997</v>
      </c>
      <c r="I8" s="7" t="s">
        <v>64</v>
      </c>
    </row>
    <row r="9" spans="1:9" ht="21" customHeight="1">
      <c r="A9" s="7" t="s">
        <v>41</v>
      </c>
      <c r="B9" s="7" t="s">
        <v>66</v>
      </c>
      <c r="C9" s="7" t="s">
        <v>67</v>
      </c>
      <c r="D9" s="7" t="s">
        <v>61</v>
      </c>
      <c r="E9" s="9">
        <v>40875</v>
      </c>
      <c r="F9" s="9">
        <v>2187</v>
      </c>
      <c r="G9" s="9">
        <v>75</v>
      </c>
      <c r="H9" s="11">
        <v>188300.00000199999</v>
      </c>
      <c r="I9" s="7" t="s">
        <v>66</v>
      </c>
    </row>
    <row r="10" spans="1:9" ht="21" customHeight="1">
      <c r="A10" s="7" t="s">
        <v>41</v>
      </c>
      <c r="B10" s="7" t="s">
        <v>70</v>
      </c>
      <c r="C10" s="7" t="s">
        <v>71</v>
      </c>
      <c r="D10" s="7" t="s">
        <v>61</v>
      </c>
      <c r="E10" s="9">
        <v>18387</v>
      </c>
      <c r="F10" s="9">
        <v>803</v>
      </c>
      <c r="G10" s="9">
        <v>21</v>
      </c>
      <c r="H10" s="11">
        <v>34450</v>
      </c>
      <c r="I10" s="7" t="s">
        <v>70</v>
      </c>
    </row>
    <row r="11" spans="1:9" ht="21" customHeight="1">
      <c r="A11" s="7" t="s">
        <v>41</v>
      </c>
      <c r="B11" s="7" t="s">
        <v>72</v>
      </c>
      <c r="C11" s="7" t="s">
        <v>73</v>
      </c>
      <c r="D11" s="7" t="s">
        <v>61</v>
      </c>
      <c r="E11" s="9">
        <v>13892</v>
      </c>
      <c r="F11" s="9">
        <v>608</v>
      </c>
      <c r="G11" s="9">
        <v>7</v>
      </c>
      <c r="H11" s="11">
        <v>23874.999999</v>
      </c>
      <c r="I11" s="7" t="s">
        <v>72</v>
      </c>
    </row>
    <row r="12" spans="1:9" ht="21" customHeight="1">
      <c r="A12" s="7" t="s">
        <v>41</v>
      </c>
      <c r="B12" s="7" t="s">
        <v>68</v>
      </c>
      <c r="C12" s="7" t="s">
        <v>69</v>
      </c>
      <c r="D12" s="7" t="s">
        <v>61</v>
      </c>
      <c r="E12" s="9">
        <v>36259</v>
      </c>
      <c r="F12" s="9">
        <v>2186</v>
      </c>
      <c r="G12" s="9">
        <v>1</v>
      </c>
      <c r="H12" s="11">
        <v>930</v>
      </c>
      <c r="I12" s="7" t="s">
        <v>68</v>
      </c>
    </row>
    <row r="13" spans="1:9" ht="21" customHeight="1">
      <c r="A13" s="7" t="s">
        <v>42</v>
      </c>
      <c r="B13" s="7" t="s">
        <v>76</v>
      </c>
      <c r="C13" s="7" t="s">
        <v>295</v>
      </c>
      <c r="D13" s="7" t="s">
        <v>61</v>
      </c>
      <c r="E13" s="9">
        <v>15828</v>
      </c>
      <c r="F13" s="9">
        <v>1430</v>
      </c>
      <c r="G13" s="9">
        <v>111</v>
      </c>
      <c r="H13" s="11">
        <v>59148.070695000002</v>
      </c>
      <c r="I13" s="7" t="s">
        <v>76</v>
      </c>
    </row>
    <row r="14" spans="1:9" ht="21" customHeight="1">
      <c r="A14" s="7" t="s">
        <v>42</v>
      </c>
      <c r="B14" s="7" t="s">
        <v>82</v>
      </c>
      <c r="C14" s="7" t="s">
        <v>83</v>
      </c>
      <c r="D14" s="7" t="s">
        <v>61</v>
      </c>
      <c r="E14" s="9">
        <v>9214</v>
      </c>
      <c r="F14" s="9">
        <v>748</v>
      </c>
      <c r="G14" s="9">
        <v>64</v>
      </c>
      <c r="H14" s="11">
        <v>36843.200355000001</v>
      </c>
      <c r="I14" s="7" t="s">
        <v>82</v>
      </c>
    </row>
    <row r="15" spans="1:9" ht="21" customHeight="1">
      <c r="A15" s="7" t="s">
        <v>42</v>
      </c>
      <c r="B15" s="7" t="s">
        <v>74</v>
      </c>
      <c r="C15" s="7" t="s">
        <v>297</v>
      </c>
      <c r="D15" s="7" t="s">
        <v>61</v>
      </c>
      <c r="E15" s="9">
        <v>12629</v>
      </c>
      <c r="F15" s="9">
        <v>728</v>
      </c>
      <c r="G15" s="9">
        <v>61</v>
      </c>
      <c r="H15" s="11">
        <v>26970.398550999998</v>
      </c>
      <c r="I15" s="7" t="s">
        <v>74</v>
      </c>
    </row>
    <row r="16" spans="1:9" ht="21" customHeight="1">
      <c r="A16" s="7" t="s">
        <v>42</v>
      </c>
      <c r="B16" s="7" t="s">
        <v>80</v>
      </c>
      <c r="C16" s="7" t="s">
        <v>81</v>
      </c>
      <c r="D16" s="7" t="s">
        <v>61</v>
      </c>
      <c r="E16" s="9">
        <v>11641</v>
      </c>
      <c r="F16" s="9">
        <v>452</v>
      </c>
      <c r="G16" s="9">
        <v>21</v>
      </c>
      <c r="H16" s="11">
        <v>26440.000001</v>
      </c>
      <c r="I16" s="7" t="s">
        <v>80</v>
      </c>
    </row>
    <row r="17" spans="1:9" ht="21" customHeight="1">
      <c r="A17" s="7" t="s">
        <v>42</v>
      </c>
      <c r="B17" s="7" t="s">
        <v>78</v>
      </c>
      <c r="C17" s="7" t="s">
        <v>79</v>
      </c>
      <c r="D17" s="7" t="s">
        <v>61</v>
      </c>
      <c r="E17" s="9">
        <v>11139</v>
      </c>
      <c r="F17" s="9">
        <v>935</v>
      </c>
      <c r="G17" s="9">
        <v>98</v>
      </c>
      <c r="H17" s="11">
        <v>24166.906826999999</v>
      </c>
      <c r="I17" s="7" t="s">
        <v>78</v>
      </c>
    </row>
    <row r="18" spans="1:9" ht="21" customHeight="1">
      <c r="A18" s="7" t="s">
        <v>42</v>
      </c>
      <c r="B18" s="7" t="s">
        <v>84</v>
      </c>
      <c r="C18" s="7" t="s">
        <v>85</v>
      </c>
      <c r="D18" s="7" t="s">
        <v>61</v>
      </c>
      <c r="E18" s="9">
        <v>2284</v>
      </c>
      <c r="F18" s="9">
        <v>120</v>
      </c>
      <c r="G18" s="9">
        <v>2</v>
      </c>
      <c r="H18" s="11">
        <v>14450.000001</v>
      </c>
      <c r="I18" s="7" t="s">
        <v>84</v>
      </c>
    </row>
    <row r="19" spans="1:9" ht="21" customHeight="1">
      <c r="A19" s="7" t="s">
        <v>42</v>
      </c>
      <c r="B19" s="7" t="s">
        <v>90</v>
      </c>
      <c r="C19" s="7" t="s">
        <v>91</v>
      </c>
      <c r="D19" s="7" t="s">
        <v>61</v>
      </c>
      <c r="E19" s="9">
        <v>7862</v>
      </c>
      <c r="F19" s="9">
        <v>390</v>
      </c>
      <c r="G19" s="9">
        <v>19</v>
      </c>
      <c r="H19" s="11">
        <v>13576.943526999999</v>
      </c>
      <c r="I19" s="7" t="s">
        <v>90</v>
      </c>
    </row>
    <row r="20" spans="1:9" ht="21" customHeight="1">
      <c r="A20" s="7" t="s">
        <v>42</v>
      </c>
      <c r="B20" s="7" t="s">
        <v>86</v>
      </c>
      <c r="C20" s="7" t="s">
        <v>87</v>
      </c>
      <c r="D20" s="7" t="s">
        <v>61</v>
      </c>
      <c r="E20" s="9">
        <v>6430</v>
      </c>
      <c r="F20" s="9">
        <v>387</v>
      </c>
      <c r="G20" s="9">
        <v>37</v>
      </c>
      <c r="H20" s="11">
        <v>12435.262756</v>
      </c>
      <c r="I20" s="7" t="s">
        <v>86</v>
      </c>
    </row>
    <row r="21" spans="1:9" ht="21" customHeight="1">
      <c r="A21" s="7" t="s">
        <v>42</v>
      </c>
      <c r="B21" s="7" t="s">
        <v>88</v>
      </c>
      <c r="C21" s="7" t="s">
        <v>291</v>
      </c>
      <c r="D21" s="7" t="s">
        <v>61</v>
      </c>
      <c r="E21" s="9">
        <v>10937</v>
      </c>
      <c r="F21" s="9">
        <v>547</v>
      </c>
      <c r="G21" s="9">
        <v>37</v>
      </c>
      <c r="H21" s="11">
        <v>12249.610323999999</v>
      </c>
      <c r="I21" s="7" t="s">
        <v>88</v>
      </c>
    </row>
    <row r="22" spans="1:9" ht="21" customHeight="1">
      <c r="A22" s="7" t="s">
        <v>42</v>
      </c>
      <c r="B22" s="7" t="s">
        <v>92</v>
      </c>
      <c r="C22" s="7" t="s">
        <v>292</v>
      </c>
      <c r="D22" s="7" t="s">
        <v>61</v>
      </c>
      <c r="E22" s="9">
        <v>7785</v>
      </c>
      <c r="F22" s="9">
        <v>278</v>
      </c>
      <c r="G22" s="9">
        <v>15</v>
      </c>
      <c r="H22" s="11">
        <v>9791.4109509999998</v>
      </c>
      <c r="I22" s="7" t="s">
        <v>92</v>
      </c>
    </row>
    <row r="23" spans="1:9" ht="21" customHeight="1">
      <c r="A23" s="7" t="s">
        <v>42</v>
      </c>
      <c r="B23" s="7" t="s">
        <v>96</v>
      </c>
      <c r="C23" s="7" t="s">
        <v>97</v>
      </c>
      <c r="D23" s="7" t="s">
        <v>61</v>
      </c>
      <c r="E23" s="9">
        <v>1246</v>
      </c>
      <c r="F23" s="9">
        <v>72</v>
      </c>
      <c r="G23" s="9">
        <v>1</v>
      </c>
      <c r="H23" s="11">
        <v>2650</v>
      </c>
      <c r="I23" s="7" t="s">
        <v>96</v>
      </c>
    </row>
    <row r="24" spans="1:9" ht="21" customHeight="1">
      <c r="A24" s="7" t="s">
        <v>42</v>
      </c>
      <c r="B24" s="7" t="s">
        <v>98</v>
      </c>
      <c r="C24" s="7" t="s">
        <v>430</v>
      </c>
      <c r="D24" s="7" t="s">
        <v>61</v>
      </c>
      <c r="E24" s="9">
        <v>3071</v>
      </c>
      <c r="F24" s="9">
        <v>141</v>
      </c>
      <c r="G24" s="9">
        <v>2</v>
      </c>
      <c r="H24" s="11">
        <v>1799.9999989999999</v>
      </c>
      <c r="I24" s="7" t="s">
        <v>98</v>
      </c>
    </row>
    <row r="25" spans="1:9" ht="21" customHeight="1">
      <c r="A25" s="7" t="s">
        <v>42</v>
      </c>
      <c r="B25" s="7" t="s">
        <v>100</v>
      </c>
      <c r="C25" s="7" t="s">
        <v>431</v>
      </c>
      <c r="D25" s="7" t="s">
        <v>61</v>
      </c>
      <c r="E25" s="9">
        <v>48</v>
      </c>
      <c r="F25" s="9">
        <v>0</v>
      </c>
      <c r="G25" s="9">
        <v>0</v>
      </c>
      <c r="H25" s="11">
        <v>0</v>
      </c>
      <c r="I25" s="7" t="s">
        <v>100</v>
      </c>
    </row>
    <row r="26" spans="1:9" ht="21" customHeight="1">
      <c r="A26" s="7" t="s">
        <v>42</v>
      </c>
      <c r="B26" s="7" t="s">
        <v>102</v>
      </c>
      <c r="C26" s="7" t="s">
        <v>298</v>
      </c>
      <c r="D26" s="7" t="s">
        <v>61</v>
      </c>
      <c r="E26" s="9">
        <v>111</v>
      </c>
      <c r="F26" s="9">
        <v>0</v>
      </c>
      <c r="G26" s="9">
        <v>0</v>
      </c>
      <c r="H26" s="11">
        <v>0</v>
      </c>
      <c r="I26" s="7" t="s">
        <v>102</v>
      </c>
    </row>
    <row r="27" spans="1:9" ht="21" customHeight="1">
      <c r="A27" s="7" t="s">
        <v>42</v>
      </c>
      <c r="B27" s="7" t="s">
        <v>104</v>
      </c>
      <c r="C27" s="7" t="s">
        <v>300</v>
      </c>
      <c r="D27" s="7" t="s">
        <v>61</v>
      </c>
      <c r="E27" s="9">
        <v>17</v>
      </c>
      <c r="F27" s="9">
        <v>0</v>
      </c>
      <c r="G27" s="9">
        <v>0</v>
      </c>
      <c r="H27" s="11">
        <v>0</v>
      </c>
      <c r="I27" s="7" t="s">
        <v>104</v>
      </c>
    </row>
    <row r="28" spans="1:9" ht="21" customHeight="1">
      <c r="A28" s="7" t="s">
        <v>42</v>
      </c>
      <c r="B28" s="7" t="s">
        <v>106</v>
      </c>
      <c r="C28" s="7" t="s">
        <v>432</v>
      </c>
      <c r="D28" s="7" t="s">
        <v>61</v>
      </c>
      <c r="E28" s="9">
        <v>19</v>
      </c>
      <c r="F28" s="9">
        <v>0</v>
      </c>
      <c r="G28" s="9">
        <v>0</v>
      </c>
      <c r="H28" s="11">
        <v>0</v>
      </c>
      <c r="I28" s="7" t="s">
        <v>106</v>
      </c>
    </row>
    <row r="29" spans="1:9" ht="21" customHeight="1">
      <c r="A29" s="7" t="s">
        <v>42</v>
      </c>
      <c r="B29" s="7" t="s">
        <v>108</v>
      </c>
      <c r="C29" s="7" t="s">
        <v>293</v>
      </c>
      <c r="D29" s="7" t="s">
        <v>61</v>
      </c>
      <c r="E29" s="9">
        <v>140</v>
      </c>
      <c r="F29" s="9">
        <v>0</v>
      </c>
      <c r="G29" s="9">
        <v>0</v>
      </c>
      <c r="H29" s="11">
        <v>0</v>
      </c>
      <c r="I29" s="7" t="s">
        <v>108</v>
      </c>
    </row>
    <row r="30" spans="1:9" ht="21" customHeight="1">
      <c r="A30" s="7" t="s">
        <v>42</v>
      </c>
      <c r="B30" s="7" t="s">
        <v>110</v>
      </c>
      <c r="C30" s="7" t="s">
        <v>433</v>
      </c>
      <c r="D30" s="7" t="s">
        <v>61</v>
      </c>
      <c r="E30" s="9">
        <v>20</v>
      </c>
      <c r="F30" s="9">
        <v>0</v>
      </c>
      <c r="G30" s="9">
        <v>0</v>
      </c>
      <c r="H30" s="11">
        <v>0</v>
      </c>
      <c r="I30" s="7" t="s">
        <v>110</v>
      </c>
    </row>
    <row r="31" spans="1:9" ht="21" customHeight="1">
      <c r="A31" s="7" t="s">
        <v>42</v>
      </c>
      <c r="B31" s="7" t="s">
        <v>112</v>
      </c>
      <c r="C31" s="7" t="s">
        <v>294</v>
      </c>
      <c r="D31" s="7" t="s">
        <v>61</v>
      </c>
      <c r="E31" s="9">
        <v>127</v>
      </c>
      <c r="F31" s="9">
        <v>0</v>
      </c>
      <c r="G31" s="9">
        <v>0</v>
      </c>
      <c r="H31" s="11">
        <v>0</v>
      </c>
      <c r="I31" s="7" t="s">
        <v>112</v>
      </c>
    </row>
    <row r="32" spans="1:9" ht="21" customHeight="1">
      <c r="A32" s="7" t="s">
        <v>42</v>
      </c>
      <c r="B32" s="7" t="s">
        <v>94</v>
      </c>
      <c r="C32" s="7" t="s">
        <v>95</v>
      </c>
      <c r="D32" s="7" t="s">
        <v>61</v>
      </c>
      <c r="E32" s="9">
        <v>1768</v>
      </c>
      <c r="F32" s="9">
        <v>82</v>
      </c>
      <c r="G32" s="9">
        <v>0</v>
      </c>
      <c r="H32" s="11">
        <v>0</v>
      </c>
      <c r="I32" s="7" t="s">
        <v>94</v>
      </c>
    </row>
    <row r="33" spans="1:9" ht="21" customHeight="1">
      <c r="A33" s="7" t="s">
        <v>42</v>
      </c>
      <c r="B33" s="7" t="s">
        <v>114</v>
      </c>
      <c r="C33" s="7" t="s">
        <v>302</v>
      </c>
      <c r="D33" s="7" t="s">
        <v>61</v>
      </c>
      <c r="E33" s="9">
        <v>46</v>
      </c>
      <c r="F33" s="9">
        <v>0</v>
      </c>
      <c r="G33" s="9">
        <v>0</v>
      </c>
      <c r="H33" s="11">
        <v>0</v>
      </c>
      <c r="I33" s="7" t="s">
        <v>114</v>
      </c>
    </row>
    <row r="34" spans="1:9" ht="21" customHeight="1">
      <c r="A34" s="7" t="s">
        <v>42</v>
      </c>
      <c r="B34" s="7" t="s">
        <v>116</v>
      </c>
      <c r="C34" s="7" t="s">
        <v>434</v>
      </c>
      <c r="D34" s="7" t="s">
        <v>61</v>
      </c>
      <c r="E34" s="9">
        <v>18</v>
      </c>
      <c r="F34" s="9">
        <v>0</v>
      </c>
      <c r="G34" s="9">
        <v>0</v>
      </c>
      <c r="H34" s="11">
        <v>0</v>
      </c>
      <c r="I34" s="7" t="s">
        <v>116</v>
      </c>
    </row>
    <row r="35" spans="1:9" ht="21" customHeight="1">
      <c r="A35" s="7" t="s">
        <v>43</v>
      </c>
      <c r="B35" s="7" t="s">
        <v>117</v>
      </c>
      <c r="C35" s="7" t="s">
        <v>118</v>
      </c>
      <c r="D35" s="7" t="s">
        <v>61</v>
      </c>
      <c r="E35" s="9">
        <v>11735</v>
      </c>
      <c r="F35" s="9">
        <v>526</v>
      </c>
      <c r="G35" s="9">
        <v>30</v>
      </c>
      <c r="H35" s="11">
        <v>13351.416816999999</v>
      </c>
      <c r="I35" s="7" t="s">
        <v>117</v>
      </c>
    </row>
    <row r="36" spans="1:9" ht="21" customHeight="1">
      <c r="A36" s="7" t="s">
        <v>43</v>
      </c>
      <c r="B36" s="7" t="s">
        <v>121</v>
      </c>
      <c r="C36" s="7" t="s">
        <v>122</v>
      </c>
      <c r="D36" s="7" t="s">
        <v>61</v>
      </c>
      <c r="E36" s="9">
        <v>5333</v>
      </c>
      <c r="F36" s="9">
        <v>271</v>
      </c>
      <c r="G36" s="9">
        <v>20</v>
      </c>
      <c r="H36" s="11">
        <v>5457.5000049999999</v>
      </c>
      <c r="I36" s="7" t="s">
        <v>121</v>
      </c>
    </row>
    <row r="37" spans="1:9" ht="21" customHeight="1">
      <c r="A37" s="7" t="s">
        <v>43</v>
      </c>
      <c r="B37" s="7" t="s">
        <v>119</v>
      </c>
      <c r="C37" s="7" t="s">
        <v>435</v>
      </c>
      <c r="D37" s="7" t="s">
        <v>61</v>
      </c>
      <c r="E37" s="9">
        <v>2587</v>
      </c>
      <c r="F37" s="9">
        <v>79</v>
      </c>
      <c r="G37" s="9">
        <v>1</v>
      </c>
      <c r="H37" s="11">
        <v>675.00000199999999</v>
      </c>
      <c r="I37" s="7" t="s">
        <v>119</v>
      </c>
    </row>
    <row r="38" spans="1:9" ht="21" customHeight="1">
      <c r="A38" s="7" t="s">
        <v>43</v>
      </c>
      <c r="B38" s="7" t="s">
        <v>436</v>
      </c>
      <c r="C38" s="7" t="s">
        <v>437</v>
      </c>
      <c r="D38" s="7" t="s">
        <v>61</v>
      </c>
      <c r="E38" s="9">
        <v>168</v>
      </c>
      <c r="F38" s="9">
        <v>10</v>
      </c>
      <c r="G38" s="9">
        <v>1</v>
      </c>
      <c r="H38" s="11">
        <v>329.999999</v>
      </c>
      <c r="I38" s="7" t="s">
        <v>436</v>
      </c>
    </row>
    <row r="39" spans="1:9" ht="21" customHeight="1">
      <c r="A39" s="7" t="s">
        <v>44</v>
      </c>
      <c r="B39" s="7" t="s">
        <v>131</v>
      </c>
      <c r="C39" s="7" t="s">
        <v>306</v>
      </c>
      <c r="D39" s="7" t="s">
        <v>61</v>
      </c>
      <c r="E39" s="9">
        <v>3822</v>
      </c>
      <c r="F39" s="9">
        <v>321</v>
      </c>
      <c r="G39" s="9">
        <v>33</v>
      </c>
      <c r="H39" s="11">
        <v>7177.4999939999998</v>
      </c>
      <c r="I39" s="7" t="s">
        <v>131</v>
      </c>
    </row>
    <row r="40" spans="1:9" ht="21" customHeight="1">
      <c r="A40" s="7" t="s">
        <v>44</v>
      </c>
      <c r="B40" s="7" t="s">
        <v>129</v>
      </c>
      <c r="C40" s="7" t="s">
        <v>130</v>
      </c>
      <c r="D40" s="7" t="s">
        <v>61</v>
      </c>
      <c r="E40" s="9">
        <v>2376</v>
      </c>
      <c r="F40" s="9">
        <v>54</v>
      </c>
      <c r="G40" s="9">
        <v>3</v>
      </c>
      <c r="H40" s="11">
        <v>6435.0000010000003</v>
      </c>
      <c r="I40" s="7" t="s">
        <v>129</v>
      </c>
    </row>
    <row r="41" spans="1:9" ht="21" customHeight="1">
      <c r="A41" s="7" t="s">
        <v>44</v>
      </c>
      <c r="B41" s="7" t="s">
        <v>125</v>
      </c>
      <c r="C41" s="7" t="s">
        <v>126</v>
      </c>
      <c r="D41" s="7" t="s">
        <v>61</v>
      </c>
      <c r="E41" s="9">
        <v>2592</v>
      </c>
      <c r="F41" s="9">
        <v>123</v>
      </c>
      <c r="G41" s="9">
        <v>2</v>
      </c>
      <c r="H41" s="11">
        <v>5890</v>
      </c>
      <c r="I41" s="7" t="s">
        <v>125</v>
      </c>
    </row>
    <row r="42" spans="1:9" ht="21" customHeight="1">
      <c r="A42" s="7" t="s">
        <v>44</v>
      </c>
      <c r="B42" s="7" t="s">
        <v>123</v>
      </c>
      <c r="C42" s="7" t="s">
        <v>124</v>
      </c>
      <c r="D42" s="7" t="s">
        <v>61</v>
      </c>
      <c r="E42" s="9">
        <v>826</v>
      </c>
      <c r="F42" s="9">
        <v>28</v>
      </c>
      <c r="G42" s="9">
        <v>1</v>
      </c>
      <c r="H42" s="11">
        <v>3844.9999990000001</v>
      </c>
      <c r="I42" s="7" t="s">
        <v>123</v>
      </c>
    </row>
    <row r="43" spans="1:9" ht="21" customHeight="1">
      <c r="A43" s="7" t="s">
        <v>44</v>
      </c>
      <c r="B43" s="7" t="s">
        <v>127</v>
      </c>
      <c r="C43" s="7" t="s">
        <v>128</v>
      </c>
      <c r="D43" s="7" t="s">
        <v>61</v>
      </c>
      <c r="E43" s="9">
        <v>4143</v>
      </c>
      <c r="F43" s="9">
        <v>232</v>
      </c>
      <c r="G43" s="9">
        <v>1</v>
      </c>
      <c r="H43" s="11">
        <v>1526.5860700000001</v>
      </c>
      <c r="I43" s="7" t="s">
        <v>127</v>
      </c>
    </row>
    <row r="44" spans="1:9" ht="21" customHeight="1">
      <c r="A44" s="7" t="s">
        <v>44</v>
      </c>
      <c r="B44" s="7" t="s">
        <v>135</v>
      </c>
      <c r="C44" s="7" t="s">
        <v>305</v>
      </c>
      <c r="D44" s="7" t="s">
        <v>61</v>
      </c>
      <c r="E44" s="9">
        <v>529</v>
      </c>
      <c r="F44" s="9">
        <v>24</v>
      </c>
      <c r="G44" s="9">
        <v>1</v>
      </c>
      <c r="H44" s="11">
        <v>465</v>
      </c>
      <c r="I44" s="7" t="s">
        <v>135</v>
      </c>
    </row>
    <row r="45" spans="1:9" ht="21" customHeight="1">
      <c r="A45" s="7" t="s">
        <v>44</v>
      </c>
      <c r="B45" s="7" t="s">
        <v>133</v>
      </c>
      <c r="C45" s="7" t="s">
        <v>307</v>
      </c>
      <c r="D45" s="7" t="s">
        <v>61</v>
      </c>
      <c r="E45" s="9">
        <v>743</v>
      </c>
      <c r="F45" s="9">
        <v>10</v>
      </c>
      <c r="G45" s="9">
        <v>0</v>
      </c>
      <c r="H45" s="11">
        <v>0</v>
      </c>
      <c r="I45" s="7" t="s">
        <v>133</v>
      </c>
    </row>
    <row r="46" spans="1:9" ht="21" customHeight="1">
      <c r="A46" s="7" t="s">
        <v>45</v>
      </c>
      <c r="B46" s="7" t="s">
        <v>137</v>
      </c>
      <c r="C46" s="7" t="s">
        <v>138</v>
      </c>
      <c r="D46" s="7" t="s">
        <v>61</v>
      </c>
      <c r="E46" s="9">
        <v>4763</v>
      </c>
      <c r="F46" s="9">
        <v>235</v>
      </c>
      <c r="G46" s="9">
        <v>5</v>
      </c>
      <c r="H46" s="11">
        <v>37600.000003000001</v>
      </c>
      <c r="I46" s="7" t="s">
        <v>137</v>
      </c>
    </row>
    <row r="47" spans="1:9" ht="21" customHeight="1">
      <c r="A47" s="7" t="s">
        <v>45</v>
      </c>
      <c r="B47" s="7" t="s">
        <v>139</v>
      </c>
      <c r="C47" s="7" t="s">
        <v>140</v>
      </c>
      <c r="D47" s="7" t="s">
        <v>61</v>
      </c>
      <c r="E47" s="9">
        <v>21979</v>
      </c>
      <c r="F47" s="9">
        <v>1331</v>
      </c>
      <c r="G47" s="9">
        <v>84</v>
      </c>
      <c r="H47" s="11">
        <v>25566.649999000001</v>
      </c>
      <c r="I47" s="7" t="s">
        <v>139</v>
      </c>
    </row>
    <row r="48" spans="1:9" ht="21" customHeight="1">
      <c r="A48" s="7" t="s">
        <v>45</v>
      </c>
      <c r="B48" s="7" t="s">
        <v>141</v>
      </c>
      <c r="C48" s="7" t="s">
        <v>142</v>
      </c>
      <c r="D48" s="7" t="s">
        <v>61</v>
      </c>
      <c r="E48" s="9">
        <v>1994</v>
      </c>
      <c r="F48" s="9">
        <v>35</v>
      </c>
      <c r="G48" s="9">
        <v>3</v>
      </c>
      <c r="H48" s="11">
        <v>2205.6705189999998</v>
      </c>
      <c r="I48" s="7" t="s">
        <v>141</v>
      </c>
    </row>
    <row r="49" spans="1:9" ht="21" customHeight="1">
      <c r="A49" s="7" t="s">
        <v>45</v>
      </c>
      <c r="B49" s="7" t="s">
        <v>143</v>
      </c>
      <c r="C49" s="7" t="s">
        <v>144</v>
      </c>
      <c r="D49" s="7" t="s">
        <v>61</v>
      </c>
      <c r="E49" s="9">
        <v>1378</v>
      </c>
      <c r="F49" s="9">
        <v>39</v>
      </c>
      <c r="G49" s="9">
        <v>4</v>
      </c>
      <c r="H49" s="11">
        <v>1324.9485279999999</v>
      </c>
      <c r="I49" s="7" t="s">
        <v>143</v>
      </c>
    </row>
    <row r="50" spans="1:9" ht="21" customHeight="1">
      <c r="A50" s="7" t="s">
        <v>45</v>
      </c>
      <c r="B50" s="7" t="s">
        <v>145</v>
      </c>
      <c r="C50" s="7" t="s">
        <v>146</v>
      </c>
      <c r="D50" s="7" t="s">
        <v>61</v>
      </c>
      <c r="E50" s="9">
        <v>856</v>
      </c>
      <c r="F50" s="9">
        <v>34</v>
      </c>
      <c r="G50" s="9">
        <v>6</v>
      </c>
      <c r="H50" s="11">
        <v>481.00000199999999</v>
      </c>
      <c r="I50" s="7" t="s">
        <v>145</v>
      </c>
    </row>
    <row r="51" spans="1:9" ht="21" customHeight="1">
      <c r="A51" s="7" t="s">
        <v>45</v>
      </c>
      <c r="B51" s="7" t="s">
        <v>147</v>
      </c>
      <c r="C51" s="7" t="s">
        <v>308</v>
      </c>
      <c r="D51" s="7" t="s">
        <v>61</v>
      </c>
      <c r="E51" s="9">
        <v>86</v>
      </c>
      <c r="F51" s="9">
        <v>0</v>
      </c>
      <c r="G51" s="9">
        <v>0</v>
      </c>
      <c r="H51" s="11">
        <v>0</v>
      </c>
      <c r="I51" s="7" t="s">
        <v>147</v>
      </c>
    </row>
    <row r="52" spans="1:9" ht="21" customHeight="1">
      <c r="A52" s="7" t="s">
        <v>45</v>
      </c>
      <c r="B52" s="7" t="s">
        <v>149</v>
      </c>
      <c r="C52" s="7" t="s">
        <v>438</v>
      </c>
      <c r="D52" s="7" t="s">
        <v>151</v>
      </c>
      <c r="E52" s="9">
        <v>6</v>
      </c>
      <c r="F52" s="9">
        <v>0</v>
      </c>
      <c r="G52" s="9">
        <v>0</v>
      </c>
      <c r="H52" s="11">
        <v>0</v>
      </c>
      <c r="I52" s="7" t="s">
        <v>439</v>
      </c>
    </row>
    <row r="53" spans="1:9" ht="21" customHeight="1">
      <c r="A53" s="7" t="s">
        <v>45</v>
      </c>
      <c r="B53" s="7" t="s">
        <v>153</v>
      </c>
      <c r="C53" s="7" t="s">
        <v>312</v>
      </c>
      <c r="D53" s="7" t="s">
        <v>61</v>
      </c>
      <c r="E53" s="9">
        <v>94</v>
      </c>
      <c r="F53" s="9">
        <v>0</v>
      </c>
      <c r="G53" s="9">
        <v>0</v>
      </c>
      <c r="H53" s="11">
        <v>0</v>
      </c>
      <c r="I53" s="7" t="s">
        <v>153</v>
      </c>
    </row>
    <row r="54" spans="1:9" ht="21" customHeight="1">
      <c r="A54" s="7" t="s">
        <v>45</v>
      </c>
      <c r="B54" s="7" t="s">
        <v>313</v>
      </c>
      <c r="C54" s="7" t="s">
        <v>314</v>
      </c>
      <c r="D54" s="7" t="s">
        <v>210</v>
      </c>
      <c r="E54" s="9">
        <v>557</v>
      </c>
      <c r="F54" s="9">
        <v>4</v>
      </c>
      <c r="G54" s="9">
        <v>0</v>
      </c>
      <c r="H54" s="11">
        <v>0</v>
      </c>
      <c r="I54" s="7" t="s">
        <v>313</v>
      </c>
    </row>
    <row r="55" spans="1:9" ht="21" customHeight="1">
      <c r="A55" s="7" t="s">
        <v>45</v>
      </c>
      <c r="B55" s="7" t="s">
        <v>155</v>
      </c>
      <c r="C55" s="7" t="s">
        <v>315</v>
      </c>
      <c r="D55" s="7" t="s">
        <v>61</v>
      </c>
      <c r="E55" s="9">
        <v>1747</v>
      </c>
      <c r="F55" s="9">
        <v>28</v>
      </c>
      <c r="G55" s="9">
        <v>0</v>
      </c>
      <c r="H55" s="11">
        <v>0</v>
      </c>
      <c r="I55" s="7" t="s">
        <v>155</v>
      </c>
    </row>
    <row r="56" spans="1:9" ht="21" customHeight="1">
      <c r="A56" s="7" t="s">
        <v>45</v>
      </c>
      <c r="B56" s="7" t="s">
        <v>157</v>
      </c>
      <c r="C56" s="7" t="s">
        <v>440</v>
      </c>
      <c r="D56" s="7" t="s">
        <v>61</v>
      </c>
      <c r="E56" s="9">
        <v>66</v>
      </c>
      <c r="F56" s="9">
        <v>0</v>
      </c>
      <c r="G56" s="9">
        <v>0</v>
      </c>
      <c r="H56" s="11">
        <v>0</v>
      </c>
      <c r="I56" s="7" t="s">
        <v>157</v>
      </c>
    </row>
    <row r="57" spans="1:9" ht="21" customHeight="1">
      <c r="A57" s="7" t="s">
        <v>45</v>
      </c>
      <c r="B57" s="7" t="s">
        <v>441</v>
      </c>
      <c r="C57" s="7" t="s">
        <v>442</v>
      </c>
      <c r="D57" s="7" t="s">
        <v>61</v>
      </c>
      <c r="E57" s="9">
        <v>1377</v>
      </c>
      <c r="F57" s="9">
        <v>68</v>
      </c>
      <c r="G57" s="9">
        <v>0</v>
      </c>
      <c r="H57" s="11">
        <v>0</v>
      </c>
      <c r="I57" s="7" t="s">
        <v>441</v>
      </c>
    </row>
    <row r="58" spans="1:9" ht="21" customHeight="1">
      <c r="A58" s="7" t="s">
        <v>45</v>
      </c>
      <c r="B58" s="7" t="s">
        <v>159</v>
      </c>
      <c r="C58" s="7" t="s">
        <v>316</v>
      </c>
      <c r="D58" s="7" t="s">
        <v>61</v>
      </c>
      <c r="E58" s="9">
        <v>65</v>
      </c>
      <c r="F58" s="9">
        <v>0</v>
      </c>
      <c r="G58" s="9">
        <v>0</v>
      </c>
      <c r="H58" s="11">
        <v>0</v>
      </c>
      <c r="I58" s="7" t="s">
        <v>159</v>
      </c>
    </row>
    <row r="59" spans="1:9" ht="21" customHeight="1">
      <c r="A59" s="7" t="s">
        <v>45</v>
      </c>
      <c r="B59" s="7" t="s">
        <v>160</v>
      </c>
      <c r="C59" s="7" t="s">
        <v>443</v>
      </c>
      <c r="D59" s="7" t="s">
        <v>61</v>
      </c>
      <c r="E59" s="9">
        <v>123</v>
      </c>
      <c r="F59" s="9">
        <v>0</v>
      </c>
      <c r="G59" s="9">
        <v>0</v>
      </c>
      <c r="H59" s="11">
        <v>0</v>
      </c>
      <c r="I59" s="7" t="s">
        <v>160</v>
      </c>
    </row>
    <row r="60" spans="1:9" ht="21" customHeight="1">
      <c r="A60" s="7" t="s">
        <v>45</v>
      </c>
      <c r="B60" s="7" t="s">
        <v>162</v>
      </c>
      <c r="C60" s="7" t="s">
        <v>309</v>
      </c>
      <c r="D60" s="7" t="s">
        <v>61</v>
      </c>
      <c r="E60" s="9">
        <v>125</v>
      </c>
      <c r="F60" s="9">
        <v>0</v>
      </c>
      <c r="G60" s="9">
        <v>0</v>
      </c>
      <c r="H60" s="11">
        <v>0</v>
      </c>
      <c r="I60" s="7" t="s">
        <v>162</v>
      </c>
    </row>
    <row r="61" spans="1:9" ht="21" customHeight="1">
      <c r="A61" s="7" t="s">
        <v>45</v>
      </c>
      <c r="B61" s="7" t="s">
        <v>164</v>
      </c>
      <c r="C61" s="7" t="s">
        <v>317</v>
      </c>
      <c r="D61" s="7" t="s">
        <v>61</v>
      </c>
      <c r="E61" s="9">
        <v>17</v>
      </c>
      <c r="F61" s="9">
        <v>0</v>
      </c>
      <c r="G61" s="9">
        <v>0</v>
      </c>
      <c r="H61" s="11">
        <v>0</v>
      </c>
      <c r="I61" s="7" t="s">
        <v>164</v>
      </c>
    </row>
    <row r="62" spans="1:9" ht="21" customHeight="1">
      <c r="A62" s="7" t="s">
        <v>45</v>
      </c>
      <c r="B62" s="7" t="s">
        <v>166</v>
      </c>
      <c r="C62" s="7" t="s">
        <v>318</v>
      </c>
      <c r="D62" s="7" t="s">
        <v>61</v>
      </c>
      <c r="E62" s="9">
        <v>464</v>
      </c>
      <c r="F62" s="9">
        <v>10</v>
      </c>
      <c r="G62" s="9">
        <v>0</v>
      </c>
      <c r="H62" s="11">
        <v>0</v>
      </c>
      <c r="I62" s="7" t="s">
        <v>166</v>
      </c>
    </row>
    <row r="63" spans="1:9" ht="21" customHeight="1">
      <c r="A63" s="7" t="s">
        <v>45</v>
      </c>
      <c r="B63" s="7" t="s">
        <v>168</v>
      </c>
      <c r="C63" s="7" t="s">
        <v>444</v>
      </c>
      <c r="D63" s="7" t="s">
        <v>151</v>
      </c>
      <c r="E63" s="9">
        <v>11</v>
      </c>
      <c r="F63" s="9">
        <v>0</v>
      </c>
      <c r="G63" s="9">
        <v>0</v>
      </c>
      <c r="H63" s="11">
        <v>0</v>
      </c>
      <c r="I63" s="7" t="s">
        <v>170</v>
      </c>
    </row>
    <row r="64" spans="1:9" ht="21" customHeight="1">
      <c r="A64" s="7" t="s">
        <v>46</v>
      </c>
      <c r="B64" s="7" t="s">
        <v>171</v>
      </c>
      <c r="C64" s="7" t="s">
        <v>172</v>
      </c>
      <c r="D64" s="7" t="s">
        <v>61</v>
      </c>
      <c r="E64" s="9">
        <v>9504</v>
      </c>
      <c r="F64" s="9">
        <v>90</v>
      </c>
      <c r="G64" s="9">
        <v>9</v>
      </c>
      <c r="H64" s="11">
        <v>8150.0000010000003</v>
      </c>
      <c r="I64" s="7" t="s">
        <v>171</v>
      </c>
    </row>
    <row r="65" spans="1:9" ht="21" customHeight="1">
      <c r="A65" s="7" t="s">
        <v>46</v>
      </c>
      <c r="B65" s="7" t="s">
        <v>175</v>
      </c>
      <c r="C65" s="7" t="s">
        <v>176</v>
      </c>
      <c r="D65" s="7" t="s">
        <v>61</v>
      </c>
      <c r="E65" s="9">
        <v>4795</v>
      </c>
      <c r="F65" s="9">
        <v>61</v>
      </c>
      <c r="G65" s="9">
        <v>2</v>
      </c>
      <c r="H65" s="11">
        <v>1375.0000010000001</v>
      </c>
      <c r="I65" s="7" t="s">
        <v>175</v>
      </c>
    </row>
    <row r="66" spans="1:9" ht="21" customHeight="1">
      <c r="A66" s="7" t="s">
        <v>46</v>
      </c>
      <c r="B66" s="7" t="s">
        <v>177</v>
      </c>
      <c r="C66" s="7" t="s">
        <v>178</v>
      </c>
      <c r="D66" s="7" t="s">
        <v>61</v>
      </c>
      <c r="E66" s="9">
        <v>519</v>
      </c>
      <c r="F66" s="9">
        <v>21</v>
      </c>
      <c r="G66" s="9">
        <v>3</v>
      </c>
      <c r="H66" s="11">
        <v>270.000001</v>
      </c>
      <c r="I66" s="7" t="s">
        <v>177</v>
      </c>
    </row>
    <row r="67" spans="1:9" ht="21" customHeight="1">
      <c r="A67" s="7" t="s">
        <v>46</v>
      </c>
      <c r="B67" s="7" t="s">
        <v>320</v>
      </c>
      <c r="C67" s="7" t="s">
        <v>321</v>
      </c>
      <c r="D67" s="7" t="s">
        <v>61</v>
      </c>
      <c r="E67" s="9">
        <v>671</v>
      </c>
      <c r="F67" s="9">
        <v>20</v>
      </c>
      <c r="G67" s="9">
        <v>0</v>
      </c>
      <c r="H67" s="11">
        <v>0</v>
      </c>
      <c r="I67" s="7" t="s">
        <v>320</v>
      </c>
    </row>
    <row r="68" spans="1:9" ht="21" customHeight="1">
      <c r="A68" s="7" t="s">
        <v>46</v>
      </c>
      <c r="B68" s="7" t="s">
        <v>173</v>
      </c>
      <c r="C68" s="7" t="s">
        <v>445</v>
      </c>
      <c r="D68" s="7" t="s">
        <v>61</v>
      </c>
      <c r="E68" s="9">
        <v>832</v>
      </c>
      <c r="F68" s="9">
        <v>3</v>
      </c>
      <c r="G68" s="9">
        <v>0</v>
      </c>
      <c r="H68" s="11">
        <v>0</v>
      </c>
      <c r="I68" s="7" t="s">
        <v>173</v>
      </c>
    </row>
    <row r="69" spans="1:9" ht="21" customHeight="1">
      <c r="A69" s="7" t="s">
        <v>47</v>
      </c>
      <c r="B69" s="7" t="s">
        <v>184</v>
      </c>
      <c r="C69" s="7" t="s">
        <v>322</v>
      </c>
      <c r="D69" s="7" t="s">
        <v>181</v>
      </c>
      <c r="E69" s="9">
        <v>1638</v>
      </c>
      <c r="F69" s="9">
        <v>100</v>
      </c>
      <c r="G69" s="9">
        <v>6</v>
      </c>
      <c r="H69" s="11">
        <v>4470</v>
      </c>
      <c r="I69" s="7" t="s">
        <v>184</v>
      </c>
    </row>
    <row r="70" spans="1:9" ht="21" customHeight="1">
      <c r="A70" s="7" t="s">
        <v>47</v>
      </c>
      <c r="B70" s="7" t="s">
        <v>196</v>
      </c>
      <c r="C70" s="7" t="s">
        <v>323</v>
      </c>
      <c r="D70" s="7" t="s">
        <v>181</v>
      </c>
      <c r="E70" s="9">
        <v>1159</v>
      </c>
      <c r="F70" s="9">
        <v>64</v>
      </c>
      <c r="G70" s="9">
        <v>2</v>
      </c>
      <c r="H70" s="11">
        <v>1090.0000030000001</v>
      </c>
      <c r="I70" s="7" t="s">
        <v>196</v>
      </c>
    </row>
    <row r="71" spans="1:9" ht="21" customHeight="1">
      <c r="A71" s="7" t="s">
        <v>47</v>
      </c>
      <c r="B71" s="7" t="s">
        <v>198</v>
      </c>
      <c r="C71" s="7" t="s">
        <v>324</v>
      </c>
      <c r="D71" s="7" t="s">
        <v>181</v>
      </c>
      <c r="E71" s="9">
        <v>2292</v>
      </c>
      <c r="F71" s="9">
        <v>55</v>
      </c>
      <c r="G71" s="9">
        <v>2</v>
      </c>
      <c r="H71" s="11">
        <v>1090.000002</v>
      </c>
      <c r="I71" s="7" t="s">
        <v>198</v>
      </c>
    </row>
    <row r="72" spans="1:9" ht="21" customHeight="1">
      <c r="A72" s="7" t="s">
        <v>47</v>
      </c>
      <c r="B72" s="7" t="s">
        <v>202</v>
      </c>
      <c r="C72" s="7" t="s">
        <v>326</v>
      </c>
      <c r="D72" s="7" t="s">
        <v>181</v>
      </c>
      <c r="E72" s="9">
        <v>1534</v>
      </c>
      <c r="F72" s="9">
        <v>43</v>
      </c>
      <c r="G72" s="9">
        <v>2</v>
      </c>
      <c r="H72" s="11">
        <v>1067.4999989999999</v>
      </c>
      <c r="I72" s="7" t="s">
        <v>202</v>
      </c>
    </row>
    <row r="73" spans="1:9" ht="21" customHeight="1">
      <c r="A73" s="7" t="s">
        <v>47</v>
      </c>
      <c r="B73" s="7" t="s">
        <v>179</v>
      </c>
      <c r="C73" s="7" t="s">
        <v>329</v>
      </c>
      <c r="D73" s="7" t="s">
        <v>181</v>
      </c>
      <c r="E73" s="9">
        <v>1289</v>
      </c>
      <c r="F73" s="9">
        <v>63</v>
      </c>
      <c r="G73" s="9">
        <v>3</v>
      </c>
      <c r="H73" s="11">
        <v>935.00000199999999</v>
      </c>
      <c r="I73" s="7" t="s">
        <v>179</v>
      </c>
    </row>
    <row r="74" spans="1:9" ht="21" customHeight="1">
      <c r="A74" s="7" t="s">
        <v>47</v>
      </c>
      <c r="B74" s="7" t="s">
        <v>188</v>
      </c>
      <c r="C74" s="7" t="s">
        <v>189</v>
      </c>
      <c r="D74" s="7" t="s">
        <v>181</v>
      </c>
      <c r="E74" s="9">
        <v>1479</v>
      </c>
      <c r="F74" s="9">
        <v>85</v>
      </c>
      <c r="G74" s="9">
        <v>2</v>
      </c>
      <c r="H74" s="11">
        <v>540.00000199999999</v>
      </c>
      <c r="I74" s="7" t="s">
        <v>188</v>
      </c>
    </row>
    <row r="75" spans="1:9" ht="21" customHeight="1">
      <c r="A75" s="7" t="s">
        <v>47</v>
      </c>
      <c r="B75" s="7" t="s">
        <v>182</v>
      </c>
      <c r="C75" s="7" t="s">
        <v>446</v>
      </c>
      <c r="D75" s="7" t="s">
        <v>181</v>
      </c>
      <c r="E75" s="9">
        <v>1730</v>
      </c>
      <c r="F75" s="9">
        <v>59</v>
      </c>
      <c r="G75" s="9">
        <v>0</v>
      </c>
      <c r="H75" s="11">
        <v>0</v>
      </c>
      <c r="I75" s="7" t="s">
        <v>182</v>
      </c>
    </row>
    <row r="76" spans="1:9" ht="21" customHeight="1">
      <c r="A76" s="7" t="s">
        <v>47</v>
      </c>
      <c r="B76" s="7" t="s">
        <v>447</v>
      </c>
      <c r="C76" s="7" t="s">
        <v>448</v>
      </c>
      <c r="D76" s="7" t="s">
        <v>181</v>
      </c>
      <c r="E76" s="9">
        <v>8</v>
      </c>
      <c r="F76" s="9">
        <v>0</v>
      </c>
      <c r="G76" s="9">
        <v>0</v>
      </c>
      <c r="H76" s="11">
        <v>0</v>
      </c>
      <c r="I76" s="7" t="s">
        <v>447</v>
      </c>
    </row>
    <row r="77" spans="1:9" ht="21" customHeight="1">
      <c r="A77" s="7" t="s">
        <v>47</v>
      </c>
      <c r="B77" s="7" t="s">
        <v>190</v>
      </c>
      <c r="C77" s="7" t="s">
        <v>330</v>
      </c>
      <c r="D77" s="7" t="s">
        <v>181</v>
      </c>
      <c r="E77" s="9">
        <v>995</v>
      </c>
      <c r="F77" s="9">
        <v>22</v>
      </c>
      <c r="G77" s="9">
        <v>0</v>
      </c>
      <c r="H77" s="11">
        <v>0</v>
      </c>
      <c r="I77" s="7" t="s">
        <v>190</v>
      </c>
    </row>
    <row r="78" spans="1:9" ht="21" customHeight="1">
      <c r="A78" s="7" t="s">
        <v>47</v>
      </c>
      <c r="B78" s="7" t="s">
        <v>192</v>
      </c>
      <c r="C78" s="7" t="s">
        <v>449</v>
      </c>
      <c r="D78" s="7" t="s">
        <v>181</v>
      </c>
      <c r="E78" s="9">
        <v>1028</v>
      </c>
      <c r="F78" s="9">
        <v>16</v>
      </c>
      <c r="G78" s="9">
        <v>0</v>
      </c>
      <c r="H78" s="11">
        <v>0</v>
      </c>
      <c r="I78" s="7" t="s">
        <v>192</v>
      </c>
    </row>
    <row r="79" spans="1:9" ht="21" customHeight="1">
      <c r="A79" s="7" t="s">
        <v>47</v>
      </c>
      <c r="B79" s="7" t="s">
        <v>450</v>
      </c>
      <c r="C79" s="7" t="s">
        <v>451</v>
      </c>
      <c r="D79" s="7" t="s">
        <v>181</v>
      </c>
      <c r="E79" s="9">
        <v>438</v>
      </c>
      <c r="F79" s="9">
        <v>20</v>
      </c>
      <c r="G79" s="9">
        <v>0</v>
      </c>
      <c r="H79" s="11">
        <v>0</v>
      </c>
      <c r="I79" s="7" t="s">
        <v>450</v>
      </c>
    </row>
    <row r="80" spans="1:9" ht="21" customHeight="1">
      <c r="A80" s="7" t="s">
        <v>47</v>
      </c>
      <c r="B80" s="7" t="s">
        <v>194</v>
      </c>
      <c r="C80" s="7" t="s">
        <v>331</v>
      </c>
      <c r="D80" s="7" t="s">
        <v>181</v>
      </c>
      <c r="E80" s="9">
        <v>1271</v>
      </c>
      <c r="F80" s="9">
        <v>21</v>
      </c>
      <c r="G80" s="9">
        <v>0</v>
      </c>
      <c r="H80" s="11">
        <v>0</v>
      </c>
      <c r="I80" s="7" t="s">
        <v>194</v>
      </c>
    </row>
    <row r="81" spans="1:9" ht="21" customHeight="1">
      <c r="A81" s="7" t="s">
        <v>47</v>
      </c>
      <c r="B81" s="7" t="s">
        <v>186</v>
      </c>
      <c r="C81" s="7" t="s">
        <v>333</v>
      </c>
      <c r="D81" s="7" t="s">
        <v>181</v>
      </c>
      <c r="E81" s="9">
        <v>1858</v>
      </c>
      <c r="F81" s="9">
        <v>56</v>
      </c>
      <c r="G81" s="9">
        <v>0</v>
      </c>
      <c r="H81" s="11">
        <v>0</v>
      </c>
      <c r="I81" s="7" t="s">
        <v>186</v>
      </c>
    </row>
    <row r="82" spans="1:9" ht="21" customHeight="1">
      <c r="A82" s="7" t="s">
        <v>47</v>
      </c>
      <c r="B82" s="7" t="s">
        <v>452</v>
      </c>
      <c r="C82" s="7" t="s">
        <v>453</v>
      </c>
      <c r="D82" s="7" t="s">
        <v>181</v>
      </c>
      <c r="E82" s="9">
        <v>55</v>
      </c>
      <c r="F82" s="9">
        <v>2</v>
      </c>
      <c r="G82" s="9">
        <v>0</v>
      </c>
      <c r="H82" s="11">
        <v>0</v>
      </c>
      <c r="I82" s="7" t="s">
        <v>452</v>
      </c>
    </row>
    <row r="83" spans="1:9" ht="21" customHeight="1">
      <c r="A83" s="7" t="s">
        <v>47</v>
      </c>
      <c r="B83" s="7" t="s">
        <v>200</v>
      </c>
      <c r="C83" s="7" t="s">
        <v>454</v>
      </c>
      <c r="D83" s="7" t="s">
        <v>181</v>
      </c>
      <c r="E83" s="9">
        <v>1152</v>
      </c>
      <c r="F83" s="9">
        <v>41</v>
      </c>
      <c r="G83" s="9">
        <v>0</v>
      </c>
      <c r="H83" s="11">
        <v>0</v>
      </c>
      <c r="I83" s="7" t="s">
        <v>200</v>
      </c>
    </row>
    <row r="84" spans="1:9" ht="21" customHeight="1">
      <c r="A84" s="7" t="s">
        <v>47</v>
      </c>
      <c r="B84" s="7" t="s">
        <v>204</v>
      </c>
      <c r="C84" s="7" t="s">
        <v>455</v>
      </c>
      <c r="D84" s="7" t="s">
        <v>181</v>
      </c>
      <c r="E84" s="9">
        <v>1210</v>
      </c>
      <c r="F84" s="9">
        <v>34</v>
      </c>
      <c r="G84" s="9">
        <v>0</v>
      </c>
      <c r="H84" s="11">
        <v>0</v>
      </c>
      <c r="I84" s="7" t="s">
        <v>204</v>
      </c>
    </row>
    <row r="85" spans="1:9" ht="21" customHeight="1">
      <c r="A85" s="7" t="s">
        <v>47</v>
      </c>
      <c r="B85" s="7" t="s">
        <v>206</v>
      </c>
      <c r="C85" s="7" t="s">
        <v>334</v>
      </c>
      <c r="D85" s="7" t="s">
        <v>181</v>
      </c>
      <c r="E85" s="9">
        <v>939</v>
      </c>
      <c r="F85" s="9">
        <v>4</v>
      </c>
      <c r="G85" s="9">
        <v>0</v>
      </c>
      <c r="H85" s="11">
        <v>0</v>
      </c>
      <c r="I85" s="7" t="s">
        <v>206</v>
      </c>
    </row>
    <row r="86" spans="1:9" ht="21" customHeight="1">
      <c r="A86" s="7" t="s">
        <v>48</v>
      </c>
      <c r="B86" s="7" t="s">
        <v>230</v>
      </c>
      <c r="C86" s="7" t="s">
        <v>456</v>
      </c>
      <c r="D86" s="7" t="s">
        <v>61</v>
      </c>
      <c r="E86" s="9">
        <v>1302</v>
      </c>
      <c r="F86" s="9">
        <v>26</v>
      </c>
      <c r="G86" s="9">
        <v>1</v>
      </c>
      <c r="H86" s="11">
        <v>9049.9999979999993</v>
      </c>
      <c r="I86" s="7" t="s">
        <v>230</v>
      </c>
    </row>
    <row r="87" spans="1:9" ht="21" customHeight="1">
      <c r="A87" s="7" t="s">
        <v>48</v>
      </c>
      <c r="B87" s="7" t="s">
        <v>208</v>
      </c>
      <c r="C87" s="7" t="s">
        <v>457</v>
      </c>
      <c r="D87" s="7" t="s">
        <v>210</v>
      </c>
      <c r="E87" s="9">
        <v>172</v>
      </c>
      <c r="F87" s="9">
        <v>1</v>
      </c>
      <c r="G87" s="9">
        <v>0</v>
      </c>
      <c r="H87" s="11">
        <v>0</v>
      </c>
      <c r="I87" s="7" t="s">
        <v>208</v>
      </c>
    </row>
    <row r="88" spans="1:9" ht="21" customHeight="1">
      <c r="A88" s="7" t="s">
        <v>48</v>
      </c>
      <c r="B88" s="7" t="s">
        <v>211</v>
      </c>
      <c r="C88" s="7" t="s">
        <v>458</v>
      </c>
      <c r="D88" s="7" t="s">
        <v>213</v>
      </c>
      <c r="E88" s="9">
        <v>73</v>
      </c>
      <c r="F88" s="9">
        <v>0</v>
      </c>
      <c r="G88" s="9">
        <v>0</v>
      </c>
      <c r="H88" s="11">
        <v>0</v>
      </c>
      <c r="I88" s="7" t="s">
        <v>211</v>
      </c>
    </row>
    <row r="89" spans="1:9" ht="21" customHeight="1">
      <c r="A89" s="7" t="s">
        <v>48</v>
      </c>
      <c r="B89" s="7" t="s">
        <v>214</v>
      </c>
      <c r="C89" s="7" t="s">
        <v>459</v>
      </c>
      <c r="D89" s="7" t="s">
        <v>213</v>
      </c>
      <c r="E89" s="9">
        <v>1</v>
      </c>
      <c r="F89" s="9">
        <v>0</v>
      </c>
      <c r="G89" s="9">
        <v>0</v>
      </c>
      <c r="H89" s="11">
        <v>0</v>
      </c>
      <c r="I89" s="7" t="s">
        <v>214</v>
      </c>
    </row>
    <row r="90" spans="1:9" ht="21" customHeight="1">
      <c r="A90" s="7" t="s">
        <v>48</v>
      </c>
      <c r="B90" s="7" t="s">
        <v>216</v>
      </c>
      <c r="C90" s="7" t="s">
        <v>460</v>
      </c>
      <c r="D90" s="7" t="s">
        <v>61</v>
      </c>
      <c r="E90" s="9">
        <v>118</v>
      </c>
      <c r="F90" s="9">
        <v>0</v>
      </c>
      <c r="G90" s="9">
        <v>0</v>
      </c>
      <c r="H90" s="11">
        <v>0</v>
      </c>
      <c r="I90" s="7" t="s">
        <v>216</v>
      </c>
    </row>
    <row r="91" spans="1:9" ht="21" customHeight="1">
      <c r="A91" s="7" t="s">
        <v>48</v>
      </c>
      <c r="B91" s="7" t="s">
        <v>220</v>
      </c>
      <c r="C91" s="7" t="s">
        <v>461</v>
      </c>
      <c r="D91" s="7" t="s">
        <v>210</v>
      </c>
      <c r="E91" s="9">
        <v>36</v>
      </c>
      <c r="F91" s="9">
        <v>2</v>
      </c>
      <c r="G91" s="9">
        <v>0</v>
      </c>
      <c r="H91" s="11">
        <v>0</v>
      </c>
      <c r="I91" s="7" t="s">
        <v>220</v>
      </c>
    </row>
    <row r="92" spans="1:9" ht="21" customHeight="1">
      <c r="A92" s="7" t="s">
        <v>48</v>
      </c>
      <c r="B92" s="7" t="s">
        <v>222</v>
      </c>
      <c r="C92" s="7" t="s">
        <v>462</v>
      </c>
      <c r="D92" s="7" t="s">
        <v>210</v>
      </c>
      <c r="E92" s="9">
        <v>205</v>
      </c>
      <c r="F92" s="9">
        <v>0</v>
      </c>
      <c r="G92" s="9">
        <v>0</v>
      </c>
      <c r="H92" s="11">
        <v>0</v>
      </c>
      <c r="I92" s="7" t="s">
        <v>222</v>
      </c>
    </row>
    <row r="93" spans="1:9" ht="21" customHeight="1">
      <c r="A93" s="7" t="s">
        <v>48</v>
      </c>
      <c r="B93" s="7" t="s">
        <v>226</v>
      </c>
      <c r="C93" s="7" t="s">
        <v>463</v>
      </c>
      <c r="D93" s="7" t="s">
        <v>210</v>
      </c>
      <c r="E93" s="9">
        <v>109</v>
      </c>
      <c r="F93" s="9">
        <v>0</v>
      </c>
      <c r="G93" s="9">
        <v>0</v>
      </c>
      <c r="H93" s="11">
        <v>0</v>
      </c>
      <c r="I93" s="7" t="s">
        <v>226</v>
      </c>
    </row>
    <row r="94" spans="1:9" ht="21" customHeight="1">
      <c r="A94" s="7" t="s">
        <v>48</v>
      </c>
      <c r="B94" s="7" t="s">
        <v>228</v>
      </c>
      <c r="C94" s="7" t="s">
        <v>464</v>
      </c>
      <c r="D94" s="7" t="s">
        <v>210</v>
      </c>
      <c r="E94" s="9">
        <v>111</v>
      </c>
      <c r="F94" s="9">
        <v>2</v>
      </c>
      <c r="G94" s="9">
        <v>0</v>
      </c>
      <c r="H94" s="11">
        <v>0</v>
      </c>
      <c r="I94" s="7" t="s">
        <v>228</v>
      </c>
    </row>
    <row r="95" spans="1:9" ht="21" customHeight="1">
      <c r="A95" s="7" t="s">
        <v>48</v>
      </c>
      <c r="B95" s="7" t="s">
        <v>232</v>
      </c>
      <c r="C95" s="7" t="s">
        <v>465</v>
      </c>
      <c r="D95" s="7" t="s">
        <v>61</v>
      </c>
      <c r="E95" s="9">
        <v>1339</v>
      </c>
      <c r="F95" s="9">
        <v>19</v>
      </c>
      <c r="G95" s="9">
        <v>0</v>
      </c>
      <c r="H95" s="11">
        <v>0</v>
      </c>
      <c r="I95" s="7" t="s">
        <v>232</v>
      </c>
    </row>
    <row r="96" spans="1:9" ht="21" customHeight="1">
      <c r="A96" s="7" t="s">
        <v>48</v>
      </c>
      <c r="B96" s="7" t="s">
        <v>234</v>
      </c>
      <c r="C96" s="7" t="s">
        <v>466</v>
      </c>
      <c r="D96" s="7" t="s">
        <v>61</v>
      </c>
      <c r="E96" s="9">
        <v>9</v>
      </c>
      <c r="F96" s="9">
        <v>0</v>
      </c>
      <c r="G96" s="9">
        <v>0</v>
      </c>
      <c r="H96" s="11">
        <v>0</v>
      </c>
      <c r="I96" s="7" t="s">
        <v>234</v>
      </c>
    </row>
    <row r="97" spans="1:9" ht="21" customHeight="1">
      <c r="A97" s="7" t="s">
        <v>48</v>
      </c>
      <c r="B97" s="7" t="s">
        <v>236</v>
      </c>
      <c r="C97" s="7" t="s">
        <v>467</v>
      </c>
      <c r="D97" s="7" t="s">
        <v>213</v>
      </c>
      <c r="E97" s="9">
        <v>4</v>
      </c>
      <c r="F97" s="9">
        <v>0</v>
      </c>
      <c r="G97" s="9">
        <v>0</v>
      </c>
      <c r="H97" s="11">
        <v>0</v>
      </c>
      <c r="I97" s="7" t="s">
        <v>236</v>
      </c>
    </row>
    <row r="98" spans="1:9" ht="21" customHeight="1">
      <c r="A98" s="7" t="s">
        <v>48</v>
      </c>
      <c r="B98" s="7" t="s">
        <v>238</v>
      </c>
      <c r="C98" s="7" t="s">
        <v>468</v>
      </c>
      <c r="D98" s="7" t="s">
        <v>61</v>
      </c>
      <c r="E98" s="9">
        <v>222</v>
      </c>
      <c r="F98" s="9">
        <v>0</v>
      </c>
      <c r="G98" s="9">
        <v>0</v>
      </c>
      <c r="H98" s="11">
        <v>0</v>
      </c>
      <c r="I98" s="7" t="s">
        <v>238</v>
      </c>
    </row>
    <row r="99" spans="1:9" ht="21" customHeight="1">
      <c r="A99" s="7" t="s">
        <v>49</v>
      </c>
      <c r="B99" s="7" t="s">
        <v>245</v>
      </c>
      <c r="C99" s="7" t="s">
        <v>469</v>
      </c>
      <c r="D99" s="7" t="s">
        <v>61</v>
      </c>
      <c r="E99" s="9">
        <v>1</v>
      </c>
      <c r="F99" s="9">
        <v>0</v>
      </c>
      <c r="G99" s="9">
        <v>0</v>
      </c>
      <c r="H99" s="11">
        <v>0</v>
      </c>
      <c r="I99" s="7" t="s">
        <v>245</v>
      </c>
    </row>
    <row r="100" spans="1:9" ht="21" customHeight="1">
      <c r="A100" s="7" t="s">
        <v>49</v>
      </c>
      <c r="B100" s="7" t="s">
        <v>247</v>
      </c>
      <c r="C100" s="7" t="s">
        <v>470</v>
      </c>
      <c r="D100" s="7" t="s">
        <v>61</v>
      </c>
      <c r="E100" s="9">
        <v>2</v>
      </c>
      <c r="F100" s="9">
        <v>0</v>
      </c>
      <c r="G100" s="9">
        <v>0</v>
      </c>
      <c r="H100" s="11">
        <v>0</v>
      </c>
      <c r="I100" s="7" t="s">
        <v>247</v>
      </c>
    </row>
    <row r="101" spans="1:9" ht="21" customHeight="1">
      <c r="A101" s="7" t="s">
        <v>50</v>
      </c>
      <c r="B101" s="7" t="s">
        <v>249</v>
      </c>
      <c r="C101" s="7" t="s">
        <v>249</v>
      </c>
      <c r="D101" s="7" t="s">
        <v>250</v>
      </c>
      <c r="E101" s="9">
        <v>10058</v>
      </c>
      <c r="F101" s="9">
        <v>0</v>
      </c>
      <c r="G101" s="9">
        <v>0</v>
      </c>
      <c r="H101" s="11">
        <v>0</v>
      </c>
      <c r="I101" s="7" t="s">
        <v>249</v>
      </c>
    </row>
    <row r="102" spans="1:9" ht="21" customHeight="1">
      <c r="A102" s="7" t="s">
        <v>50</v>
      </c>
      <c r="B102" s="7" t="s">
        <v>251</v>
      </c>
      <c r="C102" s="7" t="s">
        <v>252</v>
      </c>
      <c r="D102" s="7" t="s">
        <v>250</v>
      </c>
      <c r="E102" s="9">
        <v>14098</v>
      </c>
      <c r="F102" s="9">
        <v>10</v>
      </c>
      <c r="G102" s="9">
        <v>0</v>
      </c>
      <c r="H102" s="11">
        <v>0</v>
      </c>
      <c r="I102" s="7" t="s">
        <v>251</v>
      </c>
    </row>
    <row r="103" spans="1:9" ht="21" customHeight="1">
      <c r="A103" s="7" t="s">
        <v>50</v>
      </c>
      <c r="B103" s="7" t="s">
        <v>255</v>
      </c>
      <c r="C103" s="7" t="s">
        <v>362</v>
      </c>
      <c r="D103" s="7" t="s">
        <v>250</v>
      </c>
      <c r="E103" s="9">
        <v>147</v>
      </c>
      <c r="F103" s="9">
        <v>0</v>
      </c>
      <c r="G103" s="9">
        <v>27</v>
      </c>
      <c r="H103" s="11">
        <v>0</v>
      </c>
      <c r="I103" s="7" t="s">
        <v>255</v>
      </c>
    </row>
    <row r="104" spans="1:9" ht="21" customHeight="1">
      <c r="A104" s="7" t="s">
        <v>51</v>
      </c>
      <c r="B104" s="7" t="s">
        <v>257</v>
      </c>
      <c r="C104" s="7" t="s">
        <v>471</v>
      </c>
      <c r="D104" s="7" t="s">
        <v>259</v>
      </c>
      <c r="E104" s="9">
        <v>74</v>
      </c>
      <c r="F104" s="9">
        <v>0</v>
      </c>
      <c r="G104" s="9">
        <v>0</v>
      </c>
      <c r="H104" s="11">
        <v>0</v>
      </c>
      <c r="I104" s="7" t="s">
        <v>257</v>
      </c>
    </row>
    <row r="105" spans="1:9" ht="21" customHeight="1">
      <c r="A105" s="7" t="s">
        <v>52</v>
      </c>
      <c r="B105" s="7" t="s">
        <v>416</v>
      </c>
      <c r="C105" s="7" t="s">
        <v>472</v>
      </c>
      <c r="D105" s="7" t="s">
        <v>262</v>
      </c>
      <c r="E105" s="9">
        <v>7</v>
      </c>
      <c r="F105" s="9">
        <v>0</v>
      </c>
      <c r="G105" s="9">
        <v>0</v>
      </c>
      <c r="H105" s="11">
        <v>0</v>
      </c>
      <c r="I105" s="7" t="s">
        <v>416</v>
      </c>
    </row>
    <row r="106" spans="1:9" ht="21" customHeight="1">
      <c r="A106" s="7" t="s">
        <v>52</v>
      </c>
      <c r="B106" s="7" t="s">
        <v>260</v>
      </c>
      <c r="C106" s="7" t="s">
        <v>417</v>
      </c>
      <c r="D106" s="7" t="s">
        <v>262</v>
      </c>
      <c r="E106" s="9">
        <v>1814</v>
      </c>
      <c r="F106" s="9">
        <v>19</v>
      </c>
      <c r="G106" s="9">
        <v>0</v>
      </c>
      <c r="H106" s="11">
        <v>0</v>
      </c>
      <c r="I106" s="7" t="s">
        <v>260</v>
      </c>
    </row>
    <row r="107" spans="1:9" ht="21" customHeight="1">
      <c r="A107" s="7" t="s">
        <v>52</v>
      </c>
      <c r="B107" s="7" t="s">
        <v>263</v>
      </c>
      <c r="C107" s="7" t="s">
        <v>418</v>
      </c>
      <c r="D107" s="7" t="s">
        <v>262</v>
      </c>
      <c r="E107" s="9">
        <v>1195</v>
      </c>
      <c r="F107" s="9">
        <v>7</v>
      </c>
      <c r="G107" s="9">
        <v>0</v>
      </c>
      <c r="H107" s="11">
        <v>0</v>
      </c>
      <c r="I107" s="7" t="s">
        <v>263</v>
      </c>
    </row>
    <row r="108" spans="1:9" ht="21" customHeight="1">
      <c r="A108" s="7" t="s">
        <v>52</v>
      </c>
      <c r="B108" s="7" t="s">
        <v>265</v>
      </c>
      <c r="C108" s="7" t="s">
        <v>419</v>
      </c>
      <c r="D108" s="7" t="s">
        <v>262</v>
      </c>
      <c r="E108" s="9">
        <v>491</v>
      </c>
      <c r="F108" s="9">
        <v>18</v>
      </c>
      <c r="G108" s="9">
        <v>0</v>
      </c>
      <c r="H108" s="11">
        <v>0</v>
      </c>
      <c r="I108" s="7" t="s">
        <v>265</v>
      </c>
    </row>
    <row r="109" spans="1:9" ht="21" customHeight="1">
      <c r="A109" s="7" t="s">
        <v>52</v>
      </c>
      <c r="B109" s="7" t="s">
        <v>267</v>
      </c>
      <c r="C109" s="7" t="s">
        <v>473</v>
      </c>
      <c r="D109" s="7" t="s">
        <v>262</v>
      </c>
      <c r="E109" s="9">
        <v>21</v>
      </c>
      <c r="F109" s="9">
        <v>0</v>
      </c>
      <c r="G109" s="9">
        <v>0</v>
      </c>
      <c r="H109" s="11">
        <v>0</v>
      </c>
      <c r="I109" s="7" t="s">
        <v>267</v>
      </c>
    </row>
    <row r="110" spans="1:9" ht="21" customHeight="1">
      <c r="A110" s="7" t="s">
        <v>52</v>
      </c>
      <c r="B110" s="7" t="s">
        <v>268</v>
      </c>
      <c r="C110" s="7" t="s">
        <v>474</v>
      </c>
      <c r="D110" s="7" t="s">
        <v>262</v>
      </c>
      <c r="E110" s="9">
        <v>16</v>
      </c>
      <c r="F110" s="9">
        <v>0</v>
      </c>
      <c r="G110" s="9">
        <v>0</v>
      </c>
      <c r="H110" s="11">
        <v>0</v>
      </c>
      <c r="I110" s="7" t="s">
        <v>268</v>
      </c>
    </row>
    <row r="111" spans="1:9" ht="21" customHeight="1">
      <c r="A111" s="7" t="s">
        <v>52</v>
      </c>
      <c r="B111" s="7" t="s">
        <v>269</v>
      </c>
      <c r="C111" s="7" t="s">
        <v>421</v>
      </c>
      <c r="D111" s="7" t="s">
        <v>262</v>
      </c>
      <c r="E111" s="9">
        <v>91</v>
      </c>
      <c r="F111" s="9">
        <v>0</v>
      </c>
      <c r="G111" s="9">
        <v>0</v>
      </c>
      <c r="H111" s="11">
        <v>0</v>
      </c>
      <c r="I111" s="7" t="s">
        <v>269</v>
      </c>
    </row>
    <row r="112" spans="1:9" ht="21" customHeight="1">
      <c r="A112" s="7" t="s">
        <v>52</v>
      </c>
      <c r="B112" s="7" t="s">
        <v>271</v>
      </c>
      <c r="C112" s="7" t="s">
        <v>475</v>
      </c>
      <c r="D112" s="7" t="s">
        <v>262</v>
      </c>
      <c r="E112" s="9">
        <v>123</v>
      </c>
      <c r="F112" s="9">
        <v>0</v>
      </c>
      <c r="G112" s="9">
        <v>0</v>
      </c>
      <c r="H112" s="11">
        <v>0</v>
      </c>
      <c r="I112" s="7" t="s">
        <v>271</v>
      </c>
    </row>
    <row r="113" spans="1:9" ht="21" customHeight="1">
      <c r="A113" s="7" t="s">
        <v>52</v>
      </c>
      <c r="B113" s="7" t="s">
        <v>273</v>
      </c>
      <c r="C113" s="7" t="s">
        <v>476</v>
      </c>
      <c r="D113" s="7" t="s">
        <v>262</v>
      </c>
      <c r="E113" s="9">
        <v>1277</v>
      </c>
      <c r="F113" s="9">
        <v>20</v>
      </c>
      <c r="G113" s="9">
        <v>0</v>
      </c>
      <c r="H113" s="11">
        <v>0</v>
      </c>
      <c r="I113" s="7" t="s">
        <v>273</v>
      </c>
    </row>
    <row r="114" spans="1:9" ht="21" customHeight="1">
      <c r="A114" s="7" t="s">
        <v>52</v>
      </c>
      <c r="B114" s="7" t="s">
        <v>275</v>
      </c>
      <c r="C114" s="7" t="s">
        <v>477</v>
      </c>
      <c r="D114" s="7" t="s">
        <v>262</v>
      </c>
      <c r="E114" s="9">
        <v>16</v>
      </c>
      <c r="F114" s="9">
        <v>0</v>
      </c>
      <c r="G114" s="9">
        <v>0</v>
      </c>
      <c r="H114" s="11">
        <v>0</v>
      </c>
      <c r="I114" s="7" t="s">
        <v>275</v>
      </c>
    </row>
    <row r="115" spans="1:9" ht="21" customHeight="1">
      <c r="A115" s="7" t="s">
        <v>52</v>
      </c>
      <c r="B115" s="7" t="s">
        <v>277</v>
      </c>
      <c r="C115" s="7" t="s">
        <v>478</v>
      </c>
      <c r="D115" s="7" t="s">
        <v>262</v>
      </c>
      <c r="E115" s="9">
        <v>343</v>
      </c>
      <c r="F115" s="9">
        <v>8</v>
      </c>
      <c r="G115" s="9">
        <v>0</v>
      </c>
      <c r="H115" s="11">
        <v>0</v>
      </c>
      <c r="I115" s="7" t="s">
        <v>277</v>
      </c>
    </row>
    <row r="116" spans="1:9" ht="21" customHeight="1">
      <c r="A116" s="7" t="s">
        <v>52</v>
      </c>
      <c r="B116" s="7" t="s">
        <v>279</v>
      </c>
      <c r="C116" s="7" t="s">
        <v>479</v>
      </c>
      <c r="D116" s="7" t="s">
        <v>262</v>
      </c>
      <c r="E116" s="9">
        <v>11</v>
      </c>
      <c r="F116" s="9">
        <v>0</v>
      </c>
      <c r="G116" s="9">
        <v>0</v>
      </c>
      <c r="H116" s="11">
        <v>0</v>
      </c>
      <c r="I116" s="7" t="s">
        <v>279</v>
      </c>
    </row>
    <row r="117" spans="1:9" ht="21" customHeight="1">
      <c r="A117" s="7" t="s">
        <v>52</v>
      </c>
      <c r="B117" s="7" t="s">
        <v>280</v>
      </c>
      <c r="C117" s="7" t="s">
        <v>480</v>
      </c>
      <c r="D117" s="7" t="s">
        <v>262</v>
      </c>
      <c r="E117" s="9">
        <v>5</v>
      </c>
      <c r="F117" s="9">
        <v>0</v>
      </c>
      <c r="G117" s="9">
        <v>0</v>
      </c>
      <c r="H117" s="11">
        <v>0</v>
      </c>
      <c r="I117" s="7" t="s">
        <v>280</v>
      </c>
    </row>
    <row r="118" spans="1:9" ht="21" customHeight="1">
      <c r="A118" s="7" t="s">
        <v>52</v>
      </c>
      <c r="B118" s="7" t="s">
        <v>281</v>
      </c>
      <c r="C118" s="7" t="s">
        <v>481</v>
      </c>
      <c r="D118" s="7" t="s">
        <v>262</v>
      </c>
      <c r="E118" s="9">
        <v>11</v>
      </c>
      <c r="F118" s="9">
        <v>0</v>
      </c>
      <c r="G118" s="9">
        <v>0</v>
      </c>
      <c r="H118" s="11">
        <v>0</v>
      </c>
      <c r="I118" s="7" t="s">
        <v>281</v>
      </c>
    </row>
    <row r="119" spans="1:9" ht="21" customHeight="1">
      <c r="A119" s="7" t="s">
        <v>52</v>
      </c>
      <c r="B119" s="7" t="s">
        <v>482</v>
      </c>
      <c r="C119" s="7" t="s">
        <v>483</v>
      </c>
      <c r="D119" s="7" t="s">
        <v>262</v>
      </c>
      <c r="E119" s="9">
        <v>2</v>
      </c>
      <c r="F119" s="9">
        <v>0</v>
      </c>
      <c r="G119" s="9">
        <v>0</v>
      </c>
      <c r="H119" s="11">
        <v>0</v>
      </c>
      <c r="I119" s="7" t="s">
        <v>482</v>
      </c>
    </row>
    <row r="120" spans="1:9" ht="21" customHeight="1">
      <c r="A120" s="7" t="s">
        <v>52</v>
      </c>
      <c r="B120" s="7" t="s">
        <v>283</v>
      </c>
      <c r="C120" s="7" t="s">
        <v>484</v>
      </c>
      <c r="D120" s="7" t="s">
        <v>262</v>
      </c>
      <c r="E120" s="9">
        <v>88</v>
      </c>
      <c r="F120" s="9">
        <v>0</v>
      </c>
      <c r="G120" s="9">
        <v>0</v>
      </c>
      <c r="H120" s="11">
        <v>0</v>
      </c>
      <c r="I120" s="7" t="s">
        <v>283</v>
      </c>
    </row>
    <row r="121" spans="1:9" ht="21" customHeight="1">
      <c r="A121" s="8" t="s">
        <v>52</v>
      </c>
      <c r="B121" s="8" t="s">
        <v>286</v>
      </c>
      <c r="C121" s="8" t="s">
        <v>426</v>
      </c>
      <c r="D121" s="8" t="s">
        <v>262</v>
      </c>
      <c r="E121" s="10">
        <v>19</v>
      </c>
      <c r="F121" s="10">
        <v>0</v>
      </c>
      <c r="G121" s="10">
        <v>0</v>
      </c>
      <c r="H121" s="12">
        <v>0</v>
      </c>
      <c r="I121" s="8" t="s">
        <v>286</v>
      </c>
    </row>
    <row r="123" spans="1:9">
      <c r="A123" s="21" t="s">
        <v>288</v>
      </c>
      <c r="B123" s="22"/>
      <c r="C123" s="22"/>
      <c r="D123" s="22"/>
      <c r="E123" s="13">
        <f>SUM(E6:E121)</f>
        <v>858310</v>
      </c>
      <c r="F123" s="13">
        <f>SUM(F6:F121)</f>
        <v>45218</v>
      </c>
      <c r="G123" s="13">
        <f>SUM(G6:G121)</f>
        <v>1595</v>
      </c>
      <c r="H123" s="14">
        <f>SUM(H6:H121)</f>
        <v>2180318.7508169995</v>
      </c>
    </row>
  </sheetData>
  <mergeCells count="1">
    <mergeCell ref="A123:D12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A3AF"/>
  </sheetPr>
  <dimension ref="A1:I12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29" customWidth="1"/>
    <col min="2" max="2" width="31" customWidth="1"/>
    <col min="3" max="3" width="48" customWidth="1"/>
    <col min="4" max="4" width="29" customWidth="1"/>
    <col min="5" max="7" width="17" customWidth="1"/>
    <col min="8" max="8" width="20" customWidth="1"/>
    <col min="9" max="9" width="38" customWidth="1"/>
  </cols>
  <sheetData>
    <row r="1" spans="1:9" ht="8" customHeight="1"/>
    <row r="2" spans="1:9" ht="19">
      <c r="A2" s="1" t="s">
        <v>485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486</v>
      </c>
    </row>
    <row r="5" spans="1:9" ht="30" customHeight="1">
      <c r="A5" s="4" t="s">
        <v>35</v>
      </c>
      <c r="B5" s="5" t="s">
        <v>55</v>
      </c>
      <c r="C5" s="5" t="s">
        <v>56</v>
      </c>
      <c r="D5" s="5" t="s">
        <v>57</v>
      </c>
      <c r="E5" s="5" t="s">
        <v>36</v>
      </c>
      <c r="F5" s="5" t="s">
        <v>37</v>
      </c>
      <c r="G5" s="5" t="s">
        <v>38</v>
      </c>
      <c r="H5" s="5" t="s">
        <v>39</v>
      </c>
      <c r="I5" s="6" t="s">
        <v>58</v>
      </c>
    </row>
    <row r="6" spans="1:9" ht="21" customHeight="1">
      <c r="A6" s="7" t="s">
        <v>41</v>
      </c>
      <c r="B6" s="7" t="s">
        <v>59</v>
      </c>
      <c r="C6" s="7" t="s">
        <v>60</v>
      </c>
      <c r="D6" s="7" t="s">
        <v>61</v>
      </c>
      <c r="E6" s="9">
        <v>175927</v>
      </c>
      <c r="F6" s="9">
        <v>12979</v>
      </c>
      <c r="G6" s="9">
        <v>349</v>
      </c>
      <c r="H6" s="11">
        <v>553204.70341299998</v>
      </c>
      <c r="I6" s="7" t="s">
        <v>59</v>
      </c>
    </row>
    <row r="7" spans="1:9" ht="21" customHeight="1">
      <c r="A7" s="7" t="s">
        <v>41</v>
      </c>
      <c r="B7" s="7" t="s">
        <v>62</v>
      </c>
      <c r="C7" s="7" t="s">
        <v>63</v>
      </c>
      <c r="D7" s="7" t="s">
        <v>61</v>
      </c>
      <c r="E7" s="9">
        <v>115342</v>
      </c>
      <c r="F7" s="9">
        <v>5673</v>
      </c>
      <c r="G7" s="9">
        <v>87</v>
      </c>
      <c r="H7" s="11">
        <v>506331.629044</v>
      </c>
      <c r="I7" s="7" t="s">
        <v>62</v>
      </c>
    </row>
    <row r="8" spans="1:9" ht="21" customHeight="1">
      <c r="A8" s="7" t="s">
        <v>41</v>
      </c>
      <c r="B8" s="7" t="s">
        <v>64</v>
      </c>
      <c r="C8" s="7" t="s">
        <v>65</v>
      </c>
      <c r="D8" s="7" t="s">
        <v>61</v>
      </c>
      <c r="E8" s="9">
        <v>98140</v>
      </c>
      <c r="F8" s="9">
        <v>5148</v>
      </c>
      <c r="G8" s="9">
        <v>71</v>
      </c>
      <c r="H8" s="11">
        <v>276837.66038100002</v>
      </c>
      <c r="I8" s="7" t="s">
        <v>64</v>
      </c>
    </row>
    <row r="9" spans="1:9" ht="21" customHeight="1">
      <c r="A9" s="7" t="s">
        <v>41</v>
      </c>
      <c r="B9" s="7" t="s">
        <v>66</v>
      </c>
      <c r="C9" s="7" t="s">
        <v>67</v>
      </c>
      <c r="D9" s="7" t="s">
        <v>61</v>
      </c>
      <c r="E9" s="9">
        <v>38721</v>
      </c>
      <c r="F9" s="9">
        <v>2142</v>
      </c>
      <c r="G9" s="9">
        <v>70</v>
      </c>
      <c r="H9" s="11">
        <v>179498.81536499999</v>
      </c>
      <c r="I9" s="7" t="s">
        <v>66</v>
      </c>
    </row>
    <row r="10" spans="1:9" ht="21" customHeight="1">
      <c r="A10" s="7" t="s">
        <v>41</v>
      </c>
      <c r="B10" s="7" t="s">
        <v>68</v>
      </c>
      <c r="C10" s="7" t="s">
        <v>69</v>
      </c>
      <c r="D10" s="7" t="s">
        <v>61</v>
      </c>
      <c r="E10" s="9">
        <v>31704</v>
      </c>
      <c r="F10" s="9">
        <v>2703</v>
      </c>
      <c r="G10" s="9">
        <v>4</v>
      </c>
      <c r="H10" s="11">
        <v>131900.000004</v>
      </c>
      <c r="I10" s="7" t="s">
        <v>68</v>
      </c>
    </row>
    <row r="11" spans="1:9" ht="21" customHeight="1">
      <c r="A11" s="7" t="s">
        <v>41</v>
      </c>
      <c r="B11" s="7" t="s">
        <v>70</v>
      </c>
      <c r="C11" s="7" t="s">
        <v>71</v>
      </c>
      <c r="D11" s="7" t="s">
        <v>61</v>
      </c>
      <c r="E11" s="9">
        <v>13589</v>
      </c>
      <c r="F11" s="9">
        <v>617</v>
      </c>
      <c r="G11" s="9">
        <v>21</v>
      </c>
      <c r="H11" s="11">
        <v>37350.000005000002</v>
      </c>
      <c r="I11" s="7" t="s">
        <v>70</v>
      </c>
    </row>
    <row r="12" spans="1:9" ht="21" customHeight="1">
      <c r="A12" s="7" t="s">
        <v>41</v>
      </c>
      <c r="B12" s="7" t="s">
        <v>72</v>
      </c>
      <c r="C12" s="7" t="s">
        <v>73</v>
      </c>
      <c r="D12" s="7" t="s">
        <v>61</v>
      </c>
      <c r="E12" s="9">
        <v>8473</v>
      </c>
      <c r="F12" s="9">
        <v>491</v>
      </c>
      <c r="G12" s="9">
        <v>10</v>
      </c>
      <c r="H12" s="11">
        <v>31799.999995999999</v>
      </c>
      <c r="I12" s="7" t="s">
        <v>72</v>
      </c>
    </row>
    <row r="13" spans="1:9" ht="21" customHeight="1">
      <c r="A13" s="7" t="s">
        <v>42</v>
      </c>
      <c r="B13" s="7" t="s">
        <v>82</v>
      </c>
      <c r="C13" s="7" t="s">
        <v>83</v>
      </c>
      <c r="D13" s="7" t="s">
        <v>61</v>
      </c>
      <c r="E13" s="9">
        <v>13419</v>
      </c>
      <c r="F13" s="9">
        <v>933</v>
      </c>
      <c r="G13" s="9">
        <v>50</v>
      </c>
      <c r="H13" s="11">
        <v>27230.157517</v>
      </c>
      <c r="I13" s="7" t="s">
        <v>82</v>
      </c>
    </row>
    <row r="14" spans="1:9" ht="21" customHeight="1">
      <c r="A14" s="7" t="s">
        <v>42</v>
      </c>
      <c r="B14" s="7" t="s">
        <v>80</v>
      </c>
      <c r="C14" s="7" t="s">
        <v>81</v>
      </c>
      <c r="D14" s="7" t="s">
        <v>61</v>
      </c>
      <c r="E14" s="9">
        <v>6973</v>
      </c>
      <c r="F14" s="9">
        <v>398</v>
      </c>
      <c r="G14" s="9">
        <v>22</v>
      </c>
      <c r="H14" s="11">
        <v>26699.999996999999</v>
      </c>
      <c r="I14" s="7" t="s">
        <v>80</v>
      </c>
    </row>
    <row r="15" spans="1:9" ht="21" customHeight="1">
      <c r="A15" s="7" t="s">
        <v>42</v>
      </c>
      <c r="B15" s="7" t="s">
        <v>76</v>
      </c>
      <c r="C15" s="7" t="s">
        <v>487</v>
      </c>
      <c r="D15" s="7" t="s">
        <v>61</v>
      </c>
      <c r="E15" s="9">
        <v>19192</v>
      </c>
      <c r="F15" s="9">
        <v>1309</v>
      </c>
      <c r="G15" s="9">
        <v>64</v>
      </c>
      <c r="H15" s="11">
        <v>24991.374492999999</v>
      </c>
      <c r="I15" s="7" t="s">
        <v>76</v>
      </c>
    </row>
    <row r="16" spans="1:9" ht="21" customHeight="1">
      <c r="A16" s="7" t="s">
        <v>42</v>
      </c>
      <c r="B16" s="7" t="s">
        <v>78</v>
      </c>
      <c r="C16" s="7" t="s">
        <v>79</v>
      </c>
      <c r="D16" s="7" t="s">
        <v>61</v>
      </c>
      <c r="E16" s="9">
        <v>16090</v>
      </c>
      <c r="F16" s="9">
        <v>1129</v>
      </c>
      <c r="G16" s="9">
        <v>101</v>
      </c>
      <c r="H16" s="11">
        <v>24649.250938000001</v>
      </c>
      <c r="I16" s="7" t="s">
        <v>78</v>
      </c>
    </row>
    <row r="17" spans="1:9" ht="21" customHeight="1">
      <c r="A17" s="7" t="s">
        <v>42</v>
      </c>
      <c r="B17" s="7" t="s">
        <v>90</v>
      </c>
      <c r="C17" s="7" t="s">
        <v>91</v>
      </c>
      <c r="D17" s="7" t="s">
        <v>61</v>
      </c>
      <c r="E17" s="9">
        <v>12479</v>
      </c>
      <c r="F17" s="9">
        <v>588</v>
      </c>
      <c r="G17" s="9">
        <v>30</v>
      </c>
      <c r="H17" s="11">
        <v>22305</v>
      </c>
      <c r="I17" s="7" t="s">
        <v>90</v>
      </c>
    </row>
    <row r="18" spans="1:9" ht="21" customHeight="1">
      <c r="A18" s="7" t="s">
        <v>42</v>
      </c>
      <c r="B18" s="7" t="s">
        <v>88</v>
      </c>
      <c r="C18" s="7" t="s">
        <v>488</v>
      </c>
      <c r="D18" s="7" t="s">
        <v>61</v>
      </c>
      <c r="E18" s="9">
        <v>15972</v>
      </c>
      <c r="F18" s="9">
        <v>1387</v>
      </c>
      <c r="G18" s="9">
        <v>93</v>
      </c>
      <c r="H18" s="11">
        <v>20795.425886000001</v>
      </c>
      <c r="I18" s="7" t="s">
        <v>88</v>
      </c>
    </row>
    <row r="19" spans="1:9" ht="21" customHeight="1">
      <c r="A19" s="7" t="s">
        <v>42</v>
      </c>
      <c r="B19" s="7" t="s">
        <v>74</v>
      </c>
      <c r="C19" s="7" t="s">
        <v>489</v>
      </c>
      <c r="D19" s="7" t="s">
        <v>61</v>
      </c>
      <c r="E19" s="9">
        <v>12518</v>
      </c>
      <c r="F19" s="9">
        <v>618</v>
      </c>
      <c r="G19" s="9">
        <v>41</v>
      </c>
      <c r="H19" s="11">
        <v>18934.904350000001</v>
      </c>
      <c r="I19" s="7" t="s">
        <v>74</v>
      </c>
    </row>
    <row r="20" spans="1:9" ht="21" customHeight="1">
      <c r="A20" s="7" t="s">
        <v>42</v>
      </c>
      <c r="B20" s="7" t="s">
        <v>84</v>
      </c>
      <c r="C20" s="7" t="s">
        <v>85</v>
      </c>
      <c r="D20" s="7" t="s">
        <v>61</v>
      </c>
      <c r="E20" s="9">
        <v>1623</v>
      </c>
      <c r="F20" s="9">
        <v>73</v>
      </c>
      <c r="G20" s="9">
        <v>1</v>
      </c>
      <c r="H20" s="11">
        <v>9449.9999989999997</v>
      </c>
      <c r="I20" s="7" t="s">
        <v>84</v>
      </c>
    </row>
    <row r="21" spans="1:9" ht="21" customHeight="1">
      <c r="A21" s="7" t="s">
        <v>42</v>
      </c>
      <c r="B21" s="7" t="s">
        <v>86</v>
      </c>
      <c r="C21" s="7" t="s">
        <v>490</v>
      </c>
      <c r="D21" s="7" t="s">
        <v>61</v>
      </c>
      <c r="E21" s="9">
        <v>4983</v>
      </c>
      <c r="F21" s="9">
        <v>225</v>
      </c>
      <c r="G21" s="9">
        <v>19</v>
      </c>
      <c r="H21" s="11">
        <v>4901.9256070000001</v>
      </c>
      <c r="I21" s="7" t="s">
        <v>86</v>
      </c>
    </row>
    <row r="22" spans="1:9" ht="21" customHeight="1">
      <c r="A22" s="7" t="s">
        <v>42</v>
      </c>
      <c r="B22" s="7" t="s">
        <v>92</v>
      </c>
      <c r="C22" s="7" t="s">
        <v>491</v>
      </c>
      <c r="D22" s="7" t="s">
        <v>61</v>
      </c>
      <c r="E22" s="9">
        <v>4954</v>
      </c>
      <c r="F22" s="9">
        <v>296</v>
      </c>
      <c r="G22" s="9">
        <v>6</v>
      </c>
      <c r="H22" s="11">
        <v>4083.5331200000001</v>
      </c>
      <c r="I22" s="7" t="s">
        <v>92</v>
      </c>
    </row>
    <row r="23" spans="1:9" ht="21" customHeight="1">
      <c r="A23" s="7" t="s">
        <v>42</v>
      </c>
      <c r="B23" s="7" t="s">
        <v>96</v>
      </c>
      <c r="C23" s="7" t="s">
        <v>97</v>
      </c>
      <c r="D23" s="7" t="s">
        <v>61</v>
      </c>
      <c r="E23" s="9">
        <v>1089</v>
      </c>
      <c r="F23" s="9">
        <v>53</v>
      </c>
      <c r="G23" s="9">
        <v>1</v>
      </c>
      <c r="H23" s="11">
        <v>3059.9999990000001</v>
      </c>
      <c r="I23" s="7" t="s">
        <v>96</v>
      </c>
    </row>
    <row r="24" spans="1:9" ht="21" customHeight="1">
      <c r="A24" s="7" t="s">
        <v>42</v>
      </c>
      <c r="B24" s="7" t="s">
        <v>98</v>
      </c>
      <c r="C24" s="7" t="s">
        <v>430</v>
      </c>
      <c r="D24" s="7" t="s">
        <v>61</v>
      </c>
      <c r="E24" s="9">
        <v>1666</v>
      </c>
      <c r="F24" s="9">
        <v>98</v>
      </c>
      <c r="G24" s="9">
        <v>2</v>
      </c>
      <c r="H24" s="11">
        <v>2449.9999990000001</v>
      </c>
      <c r="I24" s="7" t="s">
        <v>98</v>
      </c>
    </row>
    <row r="25" spans="1:9" ht="21" customHeight="1">
      <c r="A25" s="7" t="s">
        <v>42</v>
      </c>
      <c r="B25" s="7" t="s">
        <v>100</v>
      </c>
      <c r="C25" s="7" t="s">
        <v>431</v>
      </c>
      <c r="D25" s="7" t="s">
        <v>61</v>
      </c>
      <c r="E25" s="9">
        <v>199</v>
      </c>
      <c r="F25" s="9">
        <v>1</v>
      </c>
      <c r="G25" s="9">
        <v>0</v>
      </c>
      <c r="H25" s="11">
        <v>0</v>
      </c>
      <c r="I25" s="7" t="s">
        <v>100</v>
      </c>
    </row>
    <row r="26" spans="1:9" ht="21" customHeight="1">
      <c r="A26" s="7" t="s">
        <v>42</v>
      </c>
      <c r="B26" s="7" t="s">
        <v>102</v>
      </c>
      <c r="C26" s="7" t="s">
        <v>298</v>
      </c>
      <c r="D26" s="7" t="s">
        <v>61</v>
      </c>
      <c r="E26" s="9">
        <v>97</v>
      </c>
      <c r="F26" s="9">
        <v>0</v>
      </c>
      <c r="G26" s="9">
        <v>0</v>
      </c>
      <c r="H26" s="11">
        <v>0</v>
      </c>
      <c r="I26" s="7" t="s">
        <v>102</v>
      </c>
    </row>
    <row r="27" spans="1:9" ht="21" customHeight="1">
      <c r="A27" s="7" t="s">
        <v>42</v>
      </c>
      <c r="B27" s="7" t="s">
        <v>104</v>
      </c>
      <c r="C27" s="7" t="s">
        <v>300</v>
      </c>
      <c r="D27" s="7" t="s">
        <v>61</v>
      </c>
      <c r="E27" s="9">
        <v>176</v>
      </c>
      <c r="F27" s="9">
        <v>3</v>
      </c>
      <c r="G27" s="9">
        <v>0</v>
      </c>
      <c r="H27" s="11">
        <v>0</v>
      </c>
      <c r="I27" s="7" t="s">
        <v>104</v>
      </c>
    </row>
    <row r="28" spans="1:9" ht="21" customHeight="1">
      <c r="A28" s="7" t="s">
        <v>42</v>
      </c>
      <c r="B28" s="7" t="s">
        <v>106</v>
      </c>
      <c r="C28" s="7" t="s">
        <v>432</v>
      </c>
      <c r="D28" s="7" t="s">
        <v>61</v>
      </c>
      <c r="E28" s="9">
        <v>25</v>
      </c>
      <c r="F28" s="9">
        <v>0</v>
      </c>
      <c r="G28" s="9">
        <v>0</v>
      </c>
      <c r="H28" s="11">
        <v>0</v>
      </c>
      <c r="I28" s="7" t="s">
        <v>106</v>
      </c>
    </row>
    <row r="29" spans="1:9" ht="21" customHeight="1">
      <c r="A29" s="7" t="s">
        <v>42</v>
      </c>
      <c r="B29" s="7" t="s">
        <v>108</v>
      </c>
      <c r="C29" s="7" t="s">
        <v>293</v>
      </c>
      <c r="D29" s="7" t="s">
        <v>61</v>
      </c>
      <c r="E29" s="9">
        <v>132</v>
      </c>
      <c r="F29" s="9">
        <v>0</v>
      </c>
      <c r="G29" s="9">
        <v>0</v>
      </c>
      <c r="H29" s="11">
        <v>0</v>
      </c>
      <c r="I29" s="7" t="s">
        <v>108</v>
      </c>
    </row>
    <row r="30" spans="1:9" ht="21" customHeight="1">
      <c r="A30" s="7" t="s">
        <v>42</v>
      </c>
      <c r="B30" s="7" t="s">
        <v>110</v>
      </c>
      <c r="C30" s="7" t="s">
        <v>433</v>
      </c>
      <c r="D30" s="7" t="s">
        <v>61</v>
      </c>
      <c r="E30" s="9">
        <v>23</v>
      </c>
      <c r="F30" s="9">
        <v>0</v>
      </c>
      <c r="G30" s="9">
        <v>0</v>
      </c>
      <c r="H30" s="11">
        <v>0</v>
      </c>
      <c r="I30" s="7" t="s">
        <v>110</v>
      </c>
    </row>
    <row r="31" spans="1:9" ht="21" customHeight="1">
      <c r="A31" s="7" t="s">
        <v>42</v>
      </c>
      <c r="B31" s="7" t="s">
        <v>112</v>
      </c>
      <c r="C31" s="7" t="s">
        <v>294</v>
      </c>
      <c r="D31" s="7" t="s">
        <v>61</v>
      </c>
      <c r="E31" s="9">
        <v>151</v>
      </c>
      <c r="F31" s="9">
        <v>0</v>
      </c>
      <c r="G31" s="9">
        <v>0</v>
      </c>
      <c r="H31" s="11">
        <v>0</v>
      </c>
      <c r="I31" s="7" t="s">
        <v>112</v>
      </c>
    </row>
    <row r="32" spans="1:9" ht="21" customHeight="1">
      <c r="A32" s="7" t="s">
        <v>42</v>
      </c>
      <c r="B32" s="7" t="s">
        <v>94</v>
      </c>
      <c r="C32" s="7" t="s">
        <v>95</v>
      </c>
      <c r="D32" s="7" t="s">
        <v>61</v>
      </c>
      <c r="E32" s="9">
        <v>1502</v>
      </c>
      <c r="F32" s="9">
        <v>53</v>
      </c>
      <c r="G32" s="9">
        <v>0</v>
      </c>
      <c r="H32" s="11">
        <v>0</v>
      </c>
      <c r="I32" s="7" t="s">
        <v>94</v>
      </c>
    </row>
    <row r="33" spans="1:9" ht="21" customHeight="1">
      <c r="A33" s="7" t="s">
        <v>42</v>
      </c>
      <c r="B33" s="7" t="s">
        <v>114</v>
      </c>
      <c r="C33" s="7" t="s">
        <v>302</v>
      </c>
      <c r="D33" s="7" t="s">
        <v>61</v>
      </c>
      <c r="E33" s="9">
        <v>27</v>
      </c>
      <c r="F33" s="9">
        <v>0</v>
      </c>
      <c r="G33" s="9">
        <v>0</v>
      </c>
      <c r="H33" s="11">
        <v>0</v>
      </c>
      <c r="I33" s="7" t="s">
        <v>114</v>
      </c>
    </row>
    <row r="34" spans="1:9" ht="21" customHeight="1">
      <c r="A34" s="7" t="s">
        <v>42</v>
      </c>
      <c r="B34" s="7" t="s">
        <v>116</v>
      </c>
      <c r="C34" s="7" t="s">
        <v>434</v>
      </c>
      <c r="D34" s="7" t="s">
        <v>61</v>
      </c>
      <c r="E34" s="9">
        <v>38</v>
      </c>
      <c r="F34" s="9">
        <v>0</v>
      </c>
      <c r="G34" s="9">
        <v>0</v>
      </c>
      <c r="H34" s="11">
        <v>0</v>
      </c>
      <c r="I34" s="7" t="s">
        <v>116</v>
      </c>
    </row>
    <row r="35" spans="1:9" ht="21" customHeight="1">
      <c r="A35" s="7" t="s">
        <v>43</v>
      </c>
      <c r="B35" s="7" t="s">
        <v>121</v>
      </c>
      <c r="C35" s="7" t="s">
        <v>122</v>
      </c>
      <c r="D35" s="7" t="s">
        <v>61</v>
      </c>
      <c r="E35" s="9">
        <v>13271</v>
      </c>
      <c r="F35" s="9">
        <v>779</v>
      </c>
      <c r="G35" s="9">
        <v>54</v>
      </c>
      <c r="H35" s="11">
        <v>11092.500019999999</v>
      </c>
      <c r="I35" s="7" t="s">
        <v>121</v>
      </c>
    </row>
    <row r="36" spans="1:9" ht="21" customHeight="1">
      <c r="A36" s="7" t="s">
        <v>43</v>
      </c>
      <c r="B36" s="7" t="s">
        <v>117</v>
      </c>
      <c r="C36" s="7" t="s">
        <v>492</v>
      </c>
      <c r="D36" s="7" t="s">
        <v>61</v>
      </c>
      <c r="E36" s="9">
        <v>9915</v>
      </c>
      <c r="F36" s="9">
        <v>447</v>
      </c>
      <c r="G36" s="9">
        <v>16</v>
      </c>
      <c r="H36" s="11">
        <v>8226.2406080000001</v>
      </c>
      <c r="I36" s="7" t="s">
        <v>117</v>
      </c>
    </row>
    <row r="37" spans="1:9" ht="21" customHeight="1">
      <c r="A37" s="7" t="s">
        <v>43</v>
      </c>
      <c r="B37" s="7" t="s">
        <v>436</v>
      </c>
      <c r="C37" s="7" t="s">
        <v>437</v>
      </c>
      <c r="D37" s="7" t="s">
        <v>61</v>
      </c>
      <c r="E37" s="9">
        <v>1576</v>
      </c>
      <c r="F37" s="9">
        <v>96</v>
      </c>
      <c r="G37" s="9">
        <v>8</v>
      </c>
      <c r="H37" s="11">
        <v>3034.202006</v>
      </c>
      <c r="I37" s="7" t="s">
        <v>436</v>
      </c>
    </row>
    <row r="38" spans="1:9" ht="21" customHeight="1">
      <c r="A38" s="7" t="s">
        <v>43</v>
      </c>
      <c r="B38" s="7" t="s">
        <v>119</v>
      </c>
      <c r="C38" s="7" t="s">
        <v>435</v>
      </c>
      <c r="D38" s="7" t="s">
        <v>61</v>
      </c>
      <c r="E38" s="9">
        <v>2002</v>
      </c>
      <c r="F38" s="9">
        <v>71</v>
      </c>
      <c r="G38" s="9">
        <v>1</v>
      </c>
      <c r="H38" s="11">
        <v>745.000001</v>
      </c>
      <c r="I38" s="7" t="s">
        <v>119</v>
      </c>
    </row>
    <row r="39" spans="1:9" ht="21" customHeight="1">
      <c r="A39" s="7" t="s">
        <v>44</v>
      </c>
      <c r="B39" s="7" t="s">
        <v>125</v>
      </c>
      <c r="C39" s="7" t="s">
        <v>126</v>
      </c>
      <c r="D39" s="7" t="s">
        <v>61</v>
      </c>
      <c r="E39" s="9">
        <v>3256</v>
      </c>
      <c r="F39" s="9">
        <v>170</v>
      </c>
      <c r="G39" s="9">
        <v>7</v>
      </c>
      <c r="H39" s="11">
        <v>20514.999999</v>
      </c>
      <c r="I39" s="7" t="s">
        <v>125</v>
      </c>
    </row>
    <row r="40" spans="1:9" ht="21" customHeight="1">
      <c r="A40" s="7" t="s">
        <v>44</v>
      </c>
      <c r="B40" s="7" t="s">
        <v>123</v>
      </c>
      <c r="C40" s="7" t="s">
        <v>124</v>
      </c>
      <c r="D40" s="7" t="s">
        <v>61</v>
      </c>
      <c r="E40" s="9">
        <v>1184</v>
      </c>
      <c r="F40" s="9">
        <v>38</v>
      </c>
      <c r="G40" s="9">
        <v>1</v>
      </c>
      <c r="H40" s="11">
        <v>3595.0000009999999</v>
      </c>
      <c r="I40" s="7" t="s">
        <v>123</v>
      </c>
    </row>
    <row r="41" spans="1:9" ht="21" customHeight="1">
      <c r="A41" s="7" t="s">
        <v>44</v>
      </c>
      <c r="B41" s="7" t="s">
        <v>131</v>
      </c>
      <c r="C41" s="7" t="s">
        <v>306</v>
      </c>
      <c r="D41" s="7" t="s">
        <v>61</v>
      </c>
      <c r="E41" s="9">
        <v>1425</v>
      </c>
      <c r="F41" s="9">
        <v>120</v>
      </c>
      <c r="G41" s="9">
        <v>13</v>
      </c>
      <c r="H41" s="11">
        <v>1980.000012</v>
      </c>
      <c r="I41" s="7" t="s">
        <v>131</v>
      </c>
    </row>
    <row r="42" spans="1:9" ht="21" customHeight="1">
      <c r="A42" s="7" t="s">
        <v>44</v>
      </c>
      <c r="B42" s="7" t="s">
        <v>129</v>
      </c>
      <c r="C42" s="7" t="s">
        <v>130</v>
      </c>
      <c r="D42" s="7" t="s">
        <v>61</v>
      </c>
      <c r="E42" s="9">
        <v>1293</v>
      </c>
      <c r="F42" s="9">
        <v>41</v>
      </c>
      <c r="G42" s="9">
        <v>1</v>
      </c>
      <c r="H42" s="11">
        <v>1244.9999989999999</v>
      </c>
      <c r="I42" s="7" t="s">
        <v>129</v>
      </c>
    </row>
    <row r="43" spans="1:9" ht="21" customHeight="1">
      <c r="A43" s="7" t="s">
        <v>44</v>
      </c>
      <c r="B43" s="7" t="s">
        <v>135</v>
      </c>
      <c r="C43" s="7" t="s">
        <v>305</v>
      </c>
      <c r="D43" s="7" t="s">
        <v>61</v>
      </c>
      <c r="E43" s="9">
        <v>327</v>
      </c>
      <c r="F43" s="9">
        <v>20</v>
      </c>
      <c r="G43" s="9">
        <v>1</v>
      </c>
      <c r="H43" s="11">
        <v>387.91352799999999</v>
      </c>
      <c r="I43" s="7" t="s">
        <v>135</v>
      </c>
    </row>
    <row r="44" spans="1:9" ht="21" customHeight="1">
      <c r="A44" s="7" t="s">
        <v>44</v>
      </c>
      <c r="B44" s="7" t="s">
        <v>133</v>
      </c>
      <c r="C44" s="7" t="s">
        <v>307</v>
      </c>
      <c r="D44" s="7" t="s">
        <v>61</v>
      </c>
      <c r="E44" s="9">
        <v>480</v>
      </c>
      <c r="F44" s="9">
        <v>9</v>
      </c>
      <c r="G44" s="9">
        <v>0</v>
      </c>
      <c r="H44" s="11">
        <v>0</v>
      </c>
      <c r="I44" s="7" t="s">
        <v>133</v>
      </c>
    </row>
    <row r="45" spans="1:9" ht="21" customHeight="1">
      <c r="A45" s="7" t="s">
        <v>44</v>
      </c>
      <c r="B45" s="7" t="s">
        <v>127</v>
      </c>
      <c r="C45" s="7" t="s">
        <v>128</v>
      </c>
      <c r="D45" s="7" t="s">
        <v>61</v>
      </c>
      <c r="E45" s="9">
        <v>4017</v>
      </c>
      <c r="F45" s="9">
        <v>236</v>
      </c>
      <c r="G45" s="9">
        <v>0</v>
      </c>
      <c r="H45" s="11">
        <v>0</v>
      </c>
      <c r="I45" s="7" t="s">
        <v>127</v>
      </c>
    </row>
    <row r="46" spans="1:9" ht="21" customHeight="1">
      <c r="A46" s="7" t="s">
        <v>45</v>
      </c>
      <c r="B46" s="7" t="s">
        <v>137</v>
      </c>
      <c r="C46" s="7" t="s">
        <v>138</v>
      </c>
      <c r="D46" s="7" t="s">
        <v>61</v>
      </c>
      <c r="E46" s="9">
        <v>3709</v>
      </c>
      <c r="F46" s="9">
        <v>186</v>
      </c>
      <c r="G46" s="9">
        <v>4</v>
      </c>
      <c r="H46" s="11">
        <v>38972.722386000001</v>
      </c>
      <c r="I46" s="7" t="s">
        <v>137</v>
      </c>
    </row>
    <row r="47" spans="1:9" ht="21" customHeight="1">
      <c r="A47" s="7" t="s">
        <v>45</v>
      </c>
      <c r="B47" s="7" t="s">
        <v>139</v>
      </c>
      <c r="C47" s="7" t="s">
        <v>140</v>
      </c>
      <c r="D47" s="7" t="s">
        <v>61</v>
      </c>
      <c r="E47" s="9">
        <v>12485</v>
      </c>
      <c r="F47" s="9">
        <v>679</v>
      </c>
      <c r="G47" s="9">
        <v>37</v>
      </c>
      <c r="H47" s="11">
        <v>13819.750001</v>
      </c>
      <c r="I47" s="7" t="s">
        <v>139</v>
      </c>
    </row>
    <row r="48" spans="1:9" ht="21" customHeight="1">
      <c r="A48" s="7" t="s">
        <v>45</v>
      </c>
      <c r="B48" s="7" t="s">
        <v>143</v>
      </c>
      <c r="C48" s="7" t="s">
        <v>144</v>
      </c>
      <c r="D48" s="7" t="s">
        <v>61</v>
      </c>
      <c r="E48" s="9">
        <v>1517</v>
      </c>
      <c r="F48" s="9">
        <v>32</v>
      </c>
      <c r="G48" s="9">
        <v>4</v>
      </c>
      <c r="H48" s="11">
        <v>1068.6714750000001</v>
      </c>
      <c r="I48" s="7" t="s">
        <v>143</v>
      </c>
    </row>
    <row r="49" spans="1:9" ht="21" customHeight="1">
      <c r="A49" s="7" t="s">
        <v>45</v>
      </c>
      <c r="B49" s="7" t="s">
        <v>141</v>
      </c>
      <c r="C49" s="7" t="s">
        <v>142</v>
      </c>
      <c r="D49" s="7" t="s">
        <v>61</v>
      </c>
      <c r="E49" s="9">
        <v>812</v>
      </c>
      <c r="F49" s="9">
        <v>31</v>
      </c>
      <c r="G49" s="9">
        <v>2</v>
      </c>
      <c r="H49" s="11">
        <v>1018.936908</v>
      </c>
      <c r="I49" s="7" t="s">
        <v>141</v>
      </c>
    </row>
    <row r="50" spans="1:9" ht="21" customHeight="1">
      <c r="A50" s="7" t="s">
        <v>45</v>
      </c>
      <c r="B50" s="7" t="s">
        <v>145</v>
      </c>
      <c r="C50" s="7" t="s">
        <v>146</v>
      </c>
      <c r="D50" s="7" t="s">
        <v>61</v>
      </c>
      <c r="E50" s="9">
        <v>159</v>
      </c>
      <c r="F50" s="9">
        <v>4</v>
      </c>
      <c r="G50" s="9">
        <v>1</v>
      </c>
      <c r="H50" s="11">
        <v>200.000001</v>
      </c>
      <c r="I50" s="7" t="s">
        <v>145</v>
      </c>
    </row>
    <row r="51" spans="1:9" ht="21" customHeight="1">
      <c r="A51" s="7" t="s">
        <v>45</v>
      </c>
      <c r="B51" s="7" t="s">
        <v>147</v>
      </c>
      <c r="C51" s="7" t="s">
        <v>308</v>
      </c>
      <c r="D51" s="7" t="s">
        <v>61</v>
      </c>
      <c r="E51" s="9">
        <v>149</v>
      </c>
      <c r="F51" s="9">
        <v>0</v>
      </c>
      <c r="G51" s="9">
        <v>0</v>
      </c>
      <c r="H51" s="11">
        <v>0</v>
      </c>
      <c r="I51" s="7" t="s">
        <v>147</v>
      </c>
    </row>
    <row r="52" spans="1:9" ht="21" customHeight="1">
      <c r="A52" s="7" t="s">
        <v>45</v>
      </c>
      <c r="B52" s="7" t="s">
        <v>149</v>
      </c>
      <c r="C52" s="7" t="s">
        <v>493</v>
      </c>
      <c r="D52" s="7" t="s">
        <v>151</v>
      </c>
      <c r="E52" s="9">
        <v>13</v>
      </c>
      <c r="F52" s="9">
        <v>0</v>
      </c>
      <c r="G52" s="9">
        <v>0</v>
      </c>
      <c r="H52" s="11">
        <v>0</v>
      </c>
      <c r="I52" s="7" t="s">
        <v>152</v>
      </c>
    </row>
    <row r="53" spans="1:9" ht="21" customHeight="1">
      <c r="A53" s="7" t="s">
        <v>45</v>
      </c>
      <c r="B53" s="7" t="s">
        <v>153</v>
      </c>
      <c r="C53" s="7" t="s">
        <v>312</v>
      </c>
      <c r="D53" s="7" t="s">
        <v>61</v>
      </c>
      <c r="E53" s="9">
        <v>130</v>
      </c>
      <c r="F53" s="9">
        <v>0</v>
      </c>
      <c r="G53" s="9">
        <v>0</v>
      </c>
      <c r="H53" s="11">
        <v>0</v>
      </c>
      <c r="I53" s="7" t="s">
        <v>153</v>
      </c>
    </row>
    <row r="54" spans="1:9" ht="21" customHeight="1">
      <c r="A54" s="7" t="s">
        <v>45</v>
      </c>
      <c r="B54" s="7" t="s">
        <v>313</v>
      </c>
      <c r="C54" s="7" t="s">
        <v>314</v>
      </c>
      <c r="D54" s="7" t="s">
        <v>210</v>
      </c>
      <c r="E54" s="9">
        <v>256</v>
      </c>
      <c r="F54" s="9">
        <v>3</v>
      </c>
      <c r="G54" s="9">
        <v>0</v>
      </c>
      <c r="H54" s="11">
        <v>0</v>
      </c>
      <c r="I54" s="7" t="s">
        <v>313</v>
      </c>
    </row>
    <row r="55" spans="1:9" ht="21" customHeight="1">
      <c r="A55" s="7" t="s">
        <v>45</v>
      </c>
      <c r="B55" s="7" t="s">
        <v>155</v>
      </c>
      <c r="C55" s="7" t="s">
        <v>315</v>
      </c>
      <c r="D55" s="7" t="s">
        <v>61</v>
      </c>
      <c r="E55" s="9">
        <v>624</v>
      </c>
      <c r="F55" s="9">
        <v>14</v>
      </c>
      <c r="G55" s="9">
        <v>0</v>
      </c>
      <c r="H55" s="11">
        <v>0</v>
      </c>
      <c r="I55" s="7" t="s">
        <v>155</v>
      </c>
    </row>
    <row r="56" spans="1:9" ht="21" customHeight="1">
      <c r="A56" s="7" t="s">
        <v>45</v>
      </c>
      <c r="B56" s="7" t="s">
        <v>157</v>
      </c>
      <c r="C56" s="7" t="s">
        <v>440</v>
      </c>
      <c r="D56" s="7" t="s">
        <v>61</v>
      </c>
      <c r="E56" s="9">
        <v>86</v>
      </c>
      <c r="F56" s="9">
        <v>0</v>
      </c>
      <c r="G56" s="9">
        <v>0</v>
      </c>
      <c r="H56" s="11">
        <v>0</v>
      </c>
      <c r="I56" s="7" t="s">
        <v>157</v>
      </c>
    </row>
    <row r="57" spans="1:9" ht="21" customHeight="1">
      <c r="A57" s="7" t="s">
        <v>45</v>
      </c>
      <c r="B57" s="7" t="s">
        <v>441</v>
      </c>
      <c r="C57" s="7" t="s">
        <v>442</v>
      </c>
      <c r="D57" s="7" t="s">
        <v>61</v>
      </c>
      <c r="E57" s="9">
        <v>647</v>
      </c>
      <c r="F57" s="9">
        <v>23</v>
      </c>
      <c r="G57" s="9">
        <v>0</v>
      </c>
      <c r="H57" s="11">
        <v>0</v>
      </c>
      <c r="I57" s="7" t="s">
        <v>441</v>
      </c>
    </row>
    <row r="58" spans="1:9" ht="21" customHeight="1">
      <c r="A58" s="7" t="s">
        <v>45</v>
      </c>
      <c r="B58" s="7" t="s">
        <v>159</v>
      </c>
      <c r="C58" s="7" t="s">
        <v>316</v>
      </c>
      <c r="D58" s="7" t="s">
        <v>61</v>
      </c>
      <c r="E58" s="9">
        <v>50</v>
      </c>
      <c r="F58" s="9">
        <v>0</v>
      </c>
      <c r="G58" s="9">
        <v>0</v>
      </c>
      <c r="H58" s="11">
        <v>0</v>
      </c>
      <c r="I58" s="7" t="s">
        <v>159</v>
      </c>
    </row>
    <row r="59" spans="1:9" ht="21" customHeight="1">
      <c r="A59" s="7" t="s">
        <v>45</v>
      </c>
      <c r="B59" s="7" t="s">
        <v>160</v>
      </c>
      <c r="C59" s="7" t="s">
        <v>443</v>
      </c>
      <c r="D59" s="7" t="s">
        <v>61</v>
      </c>
      <c r="E59" s="9">
        <v>34</v>
      </c>
      <c r="F59" s="9">
        <v>0</v>
      </c>
      <c r="G59" s="9">
        <v>0</v>
      </c>
      <c r="H59" s="11">
        <v>0</v>
      </c>
      <c r="I59" s="7" t="s">
        <v>160</v>
      </c>
    </row>
    <row r="60" spans="1:9" ht="21" customHeight="1">
      <c r="A60" s="7" t="s">
        <v>45</v>
      </c>
      <c r="B60" s="7" t="s">
        <v>162</v>
      </c>
      <c r="C60" s="7" t="s">
        <v>309</v>
      </c>
      <c r="D60" s="7" t="s">
        <v>61</v>
      </c>
      <c r="E60" s="9">
        <v>31</v>
      </c>
      <c r="F60" s="9">
        <v>0</v>
      </c>
      <c r="G60" s="9">
        <v>0</v>
      </c>
      <c r="H60" s="11">
        <v>0</v>
      </c>
      <c r="I60" s="7" t="s">
        <v>162</v>
      </c>
    </row>
    <row r="61" spans="1:9" ht="21" customHeight="1">
      <c r="A61" s="7" t="s">
        <v>45</v>
      </c>
      <c r="B61" s="7" t="s">
        <v>164</v>
      </c>
      <c r="C61" s="7" t="s">
        <v>317</v>
      </c>
      <c r="D61" s="7" t="s">
        <v>61</v>
      </c>
      <c r="E61" s="9">
        <v>22</v>
      </c>
      <c r="F61" s="9">
        <v>0</v>
      </c>
      <c r="G61" s="9">
        <v>0</v>
      </c>
      <c r="H61" s="11">
        <v>0</v>
      </c>
      <c r="I61" s="7" t="s">
        <v>164</v>
      </c>
    </row>
    <row r="62" spans="1:9" ht="21" customHeight="1">
      <c r="A62" s="7" t="s">
        <v>45</v>
      </c>
      <c r="B62" s="7" t="s">
        <v>166</v>
      </c>
      <c r="C62" s="7" t="s">
        <v>318</v>
      </c>
      <c r="D62" s="7" t="s">
        <v>61</v>
      </c>
      <c r="E62" s="9">
        <v>39</v>
      </c>
      <c r="F62" s="9">
        <v>0</v>
      </c>
      <c r="G62" s="9">
        <v>0</v>
      </c>
      <c r="H62" s="11">
        <v>0</v>
      </c>
      <c r="I62" s="7" t="s">
        <v>166</v>
      </c>
    </row>
    <row r="63" spans="1:9" ht="21" customHeight="1">
      <c r="A63" s="7" t="s">
        <v>45</v>
      </c>
      <c r="B63" s="7" t="s">
        <v>168</v>
      </c>
      <c r="C63" s="7" t="s">
        <v>494</v>
      </c>
      <c r="D63" s="7" t="s">
        <v>61</v>
      </c>
      <c r="E63" s="9">
        <v>13</v>
      </c>
      <c r="F63" s="9">
        <v>0</v>
      </c>
      <c r="G63" s="9">
        <v>0</v>
      </c>
      <c r="H63" s="11">
        <v>0</v>
      </c>
      <c r="I63" s="7" t="s">
        <v>169</v>
      </c>
    </row>
    <row r="64" spans="1:9" ht="21" customHeight="1">
      <c r="A64" s="7" t="s">
        <v>46</v>
      </c>
      <c r="B64" s="7" t="s">
        <v>171</v>
      </c>
      <c r="C64" s="7" t="s">
        <v>172</v>
      </c>
      <c r="D64" s="7" t="s">
        <v>61</v>
      </c>
      <c r="E64" s="9">
        <v>7702</v>
      </c>
      <c r="F64" s="9">
        <v>191</v>
      </c>
      <c r="G64" s="9">
        <v>10</v>
      </c>
      <c r="H64" s="11">
        <v>15020.000004</v>
      </c>
      <c r="I64" s="7" t="s">
        <v>171</v>
      </c>
    </row>
    <row r="65" spans="1:9" ht="21" customHeight="1">
      <c r="A65" s="7" t="s">
        <v>46</v>
      </c>
      <c r="B65" s="7" t="s">
        <v>173</v>
      </c>
      <c r="C65" s="7" t="s">
        <v>445</v>
      </c>
      <c r="D65" s="7" t="s">
        <v>61</v>
      </c>
      <c r="E65" s="9">
        <v>794</v>
      </c>
      <c r="F65" s="9">
        <v>5</v>
      </c>
      <c r="G65" s="9">
        <v>2</v>
      </c>
      <c r="H65" s="11">
        <v>6800</v>
      </c>
      <c r="I65" s="7" t="s">
        <v>173</v>
      </c>
    </row>
    <row r="66" spans="1:9" ht="21" customHeight="1">
      <c r="A66" s="7" t="s">
        <v>46</v>
      </c>
      <c r="B66" s="7" t="s">
        <v>175</v>
      </c>
      <c r="C66" s="7" t="s">
        <v>176</v>
      </c>
      <c r="D66" s="7" t="s">
        <v>61</v>
      </c>
      <c r="E66" s="9">
        <v>3073</v>
      </c>
      <c r="F66" s="9">
        <v>50</v>
      </c>
      <c r="G66" s="9">
        <v>7</v>
      </c>
      <c r="H66" s="11">
        <v>3199.999996</v>
      </c>
      <c r="I66" s="7" t="s">
        <v>175</v>
      </c>
    </row>
    <row r="67" spans="1:9" ht="21" customHeight="1">
      <c r="A67" s="7" t="s">
        <v>46</v>
      </c>
      <c r="B67" s="7" t="s">
        <v>177</v>
      </c>
      <c r="C67" s="7" t="s">
        <v>178</v>
      </c>
      <c r="D67" s="7" t="s">
        <v>61</v>
      </c>
      <c r="E67" s="9">
        <v>377</v>
      </c>
      <c r="F67" s="9">
        <v>2</v>
      </c>
      <c r="G67" s="9">
        <v>0</v>
      </c>
      <c r="H67" s="11">
        <v>0</v>
      </c>
      <c r="I67" s="7" t="s">
        <v>177</v>
      </c>
    </row>
    <row r="68" spans="1:9" ht="21" customHeight="1">
      <c r="A68" s="7" t="s">
        <v>46</v>
      </c>
      <c r="B68" s="7" t="s">
        <v>320</v>
      </c>
      <c r="C68" s="7" t="s">
        <v>321</v>
      </c>
      <c r="D68" s="7" t="s">
        <v>61</v>
      </c>
      <c r="E68" s="9">
        <v>419</v>
      </c>
      <c r="F68" s="9">
        <v>13</v>
      </c>
      <c r="G68" s="9">
        <v>0</v>
      </c>
      <c r="H68" s="11">
        <v>0</v>
      </c>
      <c r="I68" s="7" t="s">
        <v>320</v>
      </c>
    </row>
    <row r="69" spans="1:9" ht="21" customHeight="1">
      <c r="A69" s="7" t="s">
        <v>47</v>
      </c>
      <c r="B69" s="7" t="s">
        <v>184</v>
      </c>
      <c r="C69" s="7" t="s">
        <v>495</v>
      </c>
      <c r="D69" s="7" t="s">
        <v>181</v>
      </c>
      <c r="E69" s="9">
        <v>975</v>
      </c>
      <c r="F69" s="9">
        <v>49</v>
      </c>
      <c r="G69" s="9">
        <v>4</v>
      </c>
      <c r="H69" s="11">
        <v>2866.8902210000001</v>
      </c>
      <c r="I69" s="7" t="s">
        <v>184</v>
      </c>
    </row>
    <row r="70" spans="1:9" ht="21" customHeight="1">
      <c r="A70" s="7" t="s">
        <v>47</v>
      </c>
      <c r="B70" s="7" t="s">
        <v>450</v>
      </c>
      <c r="C70" s="7" t="s">
        <v>451</v>
      </c>
      <c r="D70" s="7" t="s">
        <v>181</v>
      </c>
      <c r="E70" s="9">
        <v>470</v>
      </c>
      <c r="F70" s="9">
        <v>7</v>
      </c>
      <c r="G70" s="9">
        <v>2</v>
      </c>
      <c r="H70" s="11">
        <v>2385</v>
      </c>
      <c r="I70" s="7" t="s">
        <v>450</v>
      </c>
    </row>
    <row r="71" spans="1:9" ht="21" customHeight="1">
      <c r="A71" s="7" t="s">
        <v>47</v>
      </c>
      <c r="B71" s="7" t="s">
        <v>198</v>
      </c>
      <c r="C71" s="7" t="s">
        <v>496</v>
      </c>
      <c r="D71" s="7" t="s">
        <v>181</v>
      </c>
      <c r="E71" s="9">
        <v>1306</v>
      </c>
      <c r="F71" s="9">
        <v>29</v>
      </c>
      <c r="G71" s="9">
        <v>2</v>
      </c>
      <c r="H71" s="11">
        <v>1670.0000010000001</v>
      </c>
      <c r="I71" s="7" t="s">
        <v>198</v>
      </c>
    </row>
    <row r="72" spans="1:9" ht="21" customHeight="1">
      <c r="A72" s="7" t="s">
        <v>47</v>
      </c>
      <c r="B72" s="7" t="s">
        <v>200</v>
      </c>
      <c r="C72" s="7" t="s">
        <v>454</v>
      </c>
      <c r="D72" s="7" t="s">
        <v>181</v>
      </c>
      <c r="E72" s="9">
        <v>614</v>
      </c>
      <c r="F72" s="9">
        <v>34</v>
      </c>
      <c r="G72" s="9">
        <v>1</v>
      </c>
      <c r="H72" s="11">
        <v>344.999999</v>
      </c>
      <c r="I72" s="7" t="s">
        <v>200</v>
      </c>
    </row>
    <row r="73" spans="1:9" ht="21" customHeight="1">
      <c r="A73" s="7" t="s">
        <v>47</v>
      </c>
      <c r="B73" s="7" t="s">
        <v>179</v>
      </c>
      <c r="C73" s="7" t="s">
        <v>497</v>
      </c>
      <c r="D73" s="7" t="s">
        <v>181</v>
      </c>
      <c r="E73" s="9">
        <v>747</v>
      </c>
      <c r="F73" s="9">
        <v>49</v>
      </c>
      <c r="G73" s="9">
        <v>1</v>
      </c>
      <c r="H73" s="11">
        <v>245</v>
      </c>
      <c r="I73" s="7" t="s">
        <v>179</v>
      </c>
    </row>
    <row r="74" spans="1:9" ht="21" customHeight="1">
      <c r="A74" s="7" t="s">
        <v>47</v>
      </c>
      <c r="B74" s="7" t="s">
        <v>182</v>
      </c>
      <c r="C74" s="7" t="s">
        <v>446</v>
      </c>
      <c r="D74" s="7" t="s">
        <v>181</v>
      </c>
      <c r="E74" s="9">
        <v>1029</v>
      </c>
      <c r="F74" s="9">
        <v>26</v>
      </c>
      <c r="G74" s="9">
        <v>0</v>
      </c>
      <c r="H74" s="11">
        <v>0</v>
      </c>
      <c r="I74" s="7" t="s">
        <v>182</v>
      </c>
    </row>
    <row r="75" spans="1:9" ht="21" customHeight="1">
      <c r="A75" s="7" t="s">
        <v>47</v>
      </c>
      <c r="B75" s="7" t="s">
        <v>447</v>
      </c>
      <c r="C75" s="7" t="s">
        <v>448</v>
      </c>
      <c r="D75" s="7" t="s">
        <v>181</v>
      </c>
      <c r="E75" s="9">
        <v>9</v>
      </c>
      <c r="F75" s="9">
        <v>2</v>
      </c>
      <c r="G75" s="9">
        <v>0</v>
      </c>
      <c r="H75" s="11">
        <v>0</v>
      </c>
      <c r="I75" s="7" t="s">
        <v>447</v>
      </c>
    </row>
    <row r="76" spans="1:9" ht="21" customHeight="1">
      <c r="A76" s="7" t="s">
        <v>47</v>
      </c>
      <c r="B76" s="7" t="s">
        <v>190</v>
      </c>
      <c r="C76" s="7" t="s">
        <v>330</v>
      </c>
      <c r="D76" s="7" t="s">
        <v>181</v>
      </c>
      <c r="E76" s="9">
        <v>463</v>
      </c>
      <c r="F76" s="9">
        <v>5</v>
      </c>
      <c r="G76" s="9">
        <v>0</v>
      </c>
      <c r="H76" s="11">
        <v>0</v>
      </c>
      <c r="I76" s="7" t="s">
        <v>190</v>
      </c>
    </row>
    <row r="77" spans="1:9" ht="21" customHeight="1">
      <c r="A77" s="7" t="s">
        <v>47</v>
      </c>
      <c r="B77" s="7" t="s">
        <v>192</v>
      </c>
      <c r="C77" s="7" t="s">
        <v>449</v>
      </c>
      <c r="D77" s="7" t="s">
        <v>181</v>
      </c>
      <c r="E77" s="9">
        <v>513</v>
      </c>
      <c r="F77" s="9">
        <v>10</v>
      </c>
      <c r="G77" s="9">
        <v>0</v>
      </c>
      <c r="H77" s="11">
        <v>0</v>
      </c>
      <c r="I77" s="7" t="s">
        <v>192</v>
      </c>
    </row>
    <row r="78" spans="1:9" ht="21" customHeight="1">
      <c r="A78" s="7" t="s">
        <v>47</v>
      </c>
      <c r="B78" s="7" t="s">
        <v>194</v>
      </c>
      <c r="C78" s="7" t="s">
        <v>331</v>
      </c>
      <c r="D78" s="7" t="s">
        <v>181</v>
      </c>
      <c r="E78" s="9">
        <v>752</v>
      </c>
      <c r="F78" s="9">
        <v>14</v>
      </c>
      <c r="G78" s="9">
        <v>0</v>
      </c>
      <c r="H78" s="11">
        <v>0</v>
      </c>
      <c r="I78" s="7" t="s">
        <v>194</v>
      </c>
    </row>
    <row r="79" spans="1:9" ht="21" customHeight="1">
      <c r="A79" s="7" t="s">
        <v>47</v>
      </c>
      <c r="B79" s="7" t="s">
        <v>498</v>
      </c>
      <c r="C79" s="7" t="s">
        <v>499</v>
      </c>
      <c r="D79" s="7" t="s">
        <v>181</v>
      </c>
      <c r="E79" s="9">
        <v>1</v>
      </c>
      <c r="F79" s="9">
        <v>0</v>
      </c>
      <c r="G79" s="9">
        <v>0</v>
      </c>
      <c r="H79" s="11">
        <v>0</v>
      </c>
      <c r="I79" s="7" t="s">
        <v>498</v>
      </c>
    </row>
    <row r="80" spans="1:9" ht="21" customHeight="1">
      <c r="A80" s="7" t="s">
        <v>47</v>
      </c>
      <c r="B80" s="7" t="s">
        <v>186</v>
      </c>
      <c r="C80" s="7" t="s">
        <v>333</v>
      </c>
      <c r="D80" s="7" t="s">
        <v>181</v>
      </c>
      <c r="E80" s="9">
        <v>1007</v>
      </c>
      <c r="F80" s="9">
        <v>20</v>
      </c>
      <c r="G80" s="9">
        <v>0</v>
      </c>
      <c r="H80" s="11">
        <v>0</v>
      </c>
      <c r="I80" s="7" t="s">
        <v>186</v>
      </c>
    </row>
    <row r="81" spans="1:9" ht="21" customHeight="1">
      <c r="A81" s="7" t="s">
        <v>47</v>
      </c>
      <c r="B81" s="7" t="s">
        <v>196</v>
      </c>
      <c r="C81" s="7" t="s">
        <v>323</v>
      </c>
      <c r="D81" s="7" t="s">
        <v>181</v>
      </c>
      <c r="E81" s="9">
        <v>788</v>
      </c>
      <c r="F81" s="9">
        <v>72</v>
      </c>
      <c r="G81" s="9">
        <v>0</v>
      </c>
      <c r="H81" s="11">
        <v>0</v>
      </c>
      <c r="I81" s="7" t="s">
        <v>196</v>
      </c>
    </row>
    <row r="82" spans="1:9" ht="21" customHeight="1">
      <c r="A82" s="7" t="s">
        <v>47</v>
      </c>
      <c r="B82" s="7" t="s">
        <v>452</v>
      </c>
      <c r="C82" s="7" t="s">
        <v>453</v>
      </c>
      <c r="D82" s="7" t="s">
        <v>181</v>
      </c>
      <c r="E82" s="9">
        <v>52</v>
      </c>
      <c r="F82" s="9">
        <v>0</v>
      </c>
      <c r="G82" s="9">
        <v>0</v>
      </c>
      <c r="H82" s="11">
        <v>0</v>
      </c>
      <c r="I82" s="7" t="s">
        <v>452</v>
      </c>
    </row>
    <row r="83" spans="1:9" ht="21" customHeight="1">
      <c r="A83" s="7" t="s">
        <v>47</v>
      </c>
      <c r="B83" s="7" t="s">
        <v>202</v>
      </c>
      <c r="C83" s="7" t="s">
        <v>326</v>
      </c>
      <c r="D83" s="7" t="s">
        <v>181</v>
      </c>
      <c r="E83" s="9">
        <v>766</v>
      </c>
      <c r="F83" s="9">
        <v>29</v>
      </c>
      <c r="G83" s="9">
        <v>0</v>
      </c>
      <c r="H83" s="11">
        <v>0</v>
      </c>
      <c r="I83" s="7" t="s">
        <v>202</v>
      </c>
    </row>
    <row r="84" spans="1:9" ht="21" customHeight="1">
      <c r="A84" s="7" t="s">
        <v>47</v>
      </c>
      <c r="B84" s="7" t="s">
        <v>188</v>
      </c>
      <c r="C84" s="7" t="s">
        <v>189</v>
      </c>
      <c r="D84" s="7" t="s">
        <v>181</v>
      </c>
      <c r="E84" s="9">
        <v>709</v>
      </c>
      <c r="F84" s="9">
        <v>42</v>
      </c>
      <c r="G84" s="9">
        <v>0</v>
      </c>
      <c r="H84" s="11">
        <v>0</v>
      </c>
      <c r="I84" s="7" t="s">
        <v>188</v>
      </c>
    </row>
    <row r="85" spans="1:9" ht="21" customHeight="1">
      <c r="A85" s="7" t="s">
        <v>47</v>
      </c>
      <c r="B85" s="7" t="s">
        <v>204</v>
      </c>
      <c r="C85" s="7" t="s">
        <v>455</v>
      </c>
      <c r="D85" s="7" t="s">
        <v>181</v>
      </c>
      <c r="E85" s="9">
        <v>606</v>
      </c>
      <c r="F85" s="9">
        <v>14</v>
      </c>
      <c r="G85" s="9">
        <v>0</v>
      </c>
      <c r="H85" s="11">
        <v>0</v>
      </c>
      <c r="I85" s="7" t="s">
        <v>204</v>
      </c>
    </row>
    <row r="86" spans="1:9" ht="21" customHeight="1">
      <c r="A86" s="7" t="s">
        <v>47</v>
      </c>
      <c r="B86" s="7" t="s">
        <v>206</v>
      </c>
      <c r="C86" s="7" t="s">
        <v>334</v>
      </c>
      <c r="D86" s="7" t="s">
        <v>181</v>
      </c>
      <c r="E86" s="9">
        <v>529</v>
      </c>
      <c r="F86" s="9">
        <v>10</v>
      </c>
      <c r="G86" s="9">
        <v>0</v>
      </c>
      <c r="H86" s="11">
        <v>0</v>
      </c>
      <c r="I86" s="7" t="s">
        <v>206</v>
      </c>
    </row>
    <row r="87" spans="1:9" ht="21" customHeight="1">
      <c r="A87" s="7" t="s">
        <v>48</v>
      </c>
      <c r="B87" s="7" t="s">
        <v>230</v>
      </c>
      <c r="C87" s="7" t="s">
        <v>500</v>
      </c>
      <c r="D87" s="7" t="s">
        <v>61</v>
      </c>
      <c r="E87" s="9">
        <v>1000</v>
      </c>
      <c r="F87" s="9">
        <v>26</v>
      </c>
      <c r="G87" s="9">
        <v>2</v>
      </c>
      <c r="H87" s="11">
        <v>5300.0000010000003</v>
      </c>
      <c r="I87" s="7" t="s">
        <v>230</v>
      </c>
    </row>
    <row r="88" spans="1:9" ht="21" customHeight="1">
      <c r="A88" s="7" t="s">
        <v>48</v>
      </c>
      <c r="B88" s="7" t="s">
        <v>208</v>
      </c>
      <c r="C88" s="7" t="s">
        <v>457</v>
      </c>
      <c r="D88" s="7" t="s">
        <v>210</v>
      </c>
      <c r="E88" s="9">
        <v>174</v>
      </c>
      <c r="F88" s="9">
        <v>3</v>
      </c>
      <c r="G88" s="9">
        <v>0</v>
      </c>
      <c r="H88" s="11">
        <v>0</v>
      </c>
      <c r="I88" s="7" t="s">
        <v>208</v>
      </c>
    </row>
    <row r="89" spans="1:9" ht="21" customHeight="1">
      <c r="A89" s="7" t="s">
        <v>48</v>
      </c>
      <c r="B89" s="7" t="s">
        <v>211</v>
      </c>
      <c r="C89" s="7" t="s">
        <v>458</v>
      </c>
      <c r="D89" s="7" t="s">
        <v>213</v>
      </c>
      <c r="E89" s="9">
        <v>52</v>
      </c>
      <c r="F89" s="9">
        <v>0</v>
      </c>
      <c r="G89" s="9">
        <v>0</v>
      </c>
      <c r="H89" s="11">
        <v>0</v>
      </c>
      <c r="I89" s="7" t="s">
        <v>211</v>
      </c>
    </row>
    <row r="90" spans="1:9" ht="21" customHeight="1">
      <c r="A90" s="7" t="s">
        <v>48</v>
      </c>
      <c r="B90" s="7" t="s">
        <v>216</v>
      </c>
      <c r="C90" s="7" t="s">
        <v>501</v>
      </c>
      <c r="D90" s="7" t="s">
        <v>61</v>
      </c>
      <c r="E90" s="9">
        <v>135</v>
      </c>
      <c r="F90" s="9">
        <v>0</v>
      </c>
      <c r="G90" s="9">
        <v>0</v>
      </c>
      <c r="H90" s="11">
        <v>0</v>
      </c>
      <c r="I90" s="7" t="s">
        <v>216</v>
      </c>
    </row>
    <row r="91" spans="1:9" ht="21" customHeight="1">
      <c r="A91" s="7" t="s">
        <v>48</v>
      </c>
      <c r="B91" s="7" t="s">
        <v>218</v>
      </c>
      <c r="C91" s="7" t="s">
        <v>502</v>
      </c>
      <c r="D91" s="7" t="s">
        <v>213</v>
      </c>
      <c r="E91" s="9">
        <v>3</v>
      </c>
      <c r="F91" s="9">
        <v>0</v>
      </c>
      <c r="G91" s="9">
        <v>0</v>
      </c>
      <c r="H91" s="11">
        <v>0</v>
      </c>
      <c r="I91" s="7" t="s">
        <v>218</v>
      </c>
    </row>
    <row r="92" spans="1:9" ht="21" customHeight="1">
      <c r="A92" s="7" t="s">
        <v>48</v>
      </c>
      <c r="B92" s="7" t="s">
        <v>220</v>
      </c>
      <c r="C92" s="7" t="s">
        <v>461</v>
      </c>
      <c r="D92" s="7" t="s">
        <v>210</v>
      </c>
      <c r="E92" s="9">
        <v>68</v>
      </c>
      <c r="F92" s="9">
        <v>1</v>
      </c>
      <c r="G92" s="9">
        <v>0</v>
      </c>
      <c r="H92" s="11">
        <v>0</v>
      </c>
      <c r="I92" s="7" t="s">
        <v>220</v>
      </c>
    </row>
    <row r="93" spans="1:9" ht="21" customHeight="1">
      <c r="A93" s="7" t="s">
        <v>48</v>
      </c>
      <c r="B93" s="7" t="s">
        <v>222</v>
      </c>
      <c r="C93" s="7" t="s">
        <v>462</v>
      </c>
      <c r="D93" s="7" t="s">
        <v>210</v>
      </c>
      <c r="E93" s="9">
        <v>194</v>
      </c>
      <c r="F93" s="9">
        <v>2</v>
      </c>
      <c r="G93" s="9">
        <v>0</v>
      </c>
      <c r="H93" s="11">
        <v>0</v>
      </c>
      <c r="I93" s="7" t="s">
        <v>222</v>
      </c>
    </row>
    <row r="94" spans="1:9" ht="21" customHeight="1">
      <c r="A94" s="7" t="s">
        <v>48</v>
      </c>
      <c r="B94" s="7" t="s">
        <v>224</v>
      </c>
      <c r="C94" s="7" t="s">
        <v>503</v>
      </c>
      <c r="D94" s="7" t="s">
        <v>213</v>
      </c>
      <c r="E94" s="9">
        <v>2</v>
      </c>
      <c r="F94" s="9">
        <v>0</v>
      </c>
      <c r="G94" s="9">
        <v>0</v>
      </c>
      <c r="H94" s="11">
        <v>0</v>
      </c>
      <c r="I94" s="7" t="s">
        <v>224</v>
      </c>
    </row>
    <row r="95" spans="1:9" ht="21" customHeight="1">
      <c r="A95" s="7" t="s">
        <v>48</v>
      </c>
      <c r="B95" s="7" t="s">
        <v>226</v>
      </c>
      <c r="C95" s="7" t="s">
        <v>463</v>
      </c>
      <c r="D95" s="7" t="s">
        <v>210</v>
      </c>
      <c r="E95" s="9">
        <v>128</v>
      </c>
      <c r="F95" s="9">
        <v>2</v>
      </c>
      <c r="G95" s="9">
        <v>0</v>
      </c>
      <c r="H95" s="11">
        <v>0</v>
      </c>
      <c r="I95" s="7" t="s">
        <v>226</v>
      </c>
    </row>
    <row r="96" spans="1:9" ht="21" customHeight="1">
      <c r="A96" s="7" t="s">
        <v>48</v>
      </c>
      <c r="B96" s="7" t="s">
        <v>228</v>
      </c>
      <c r="C96" s="7" t="s">
        <v>464</v>
      </c>
      <c r="D96" s="7" t="s">
        <v>210</v>
      </c>
      <c r="E96" s="9">
        <v>125</v>
      </c>
      <c r="F96" s="9">
        <v>1</v>
      </c>
      <c r="G96" s="9">
        <v>0</v>
      </c>
      <c r="H96" s="11">
        <v>0</v>
      </c>
      <c r="I96" s="7" t="s">
        <v>228</v>
      </c>
    </row>
    <row r="97" spans="1:9" ht="21" customHeight="1">
      <c r="A97" s="7" t="s">
        <v>48</v>
      </c>
      <c r="B97" s="7" t="s">
        <v>504</v>
      </c>
      <c r="C97" s="7" t="s">
        <v>505</v>
      </c>
      <c r="D97" s="7" t="s">
        <v>213</v>
      </c>
      <c r="E97" s="9">
        <v>3</v>
      </c>
      <c r="F97" s="9">
        <v>0</v>
      </c>
      <c r="G97" s="9">
        <v>0</v>
      </c>
      <c r="H97" s="11">
        <v>0</v>
      </c>
      <c r="I97" s="7" t="s">
        <v>504</v>
      </c>
    </row>
    <row r="98" spans="1:9" ht="21" customHeight="1">
      <c r="A98" s="7" t="s">
        <v>48</v>
      </c>
      <c r="B98" s="7" t="s">
        <v>232</v>
      </c>
      <c r="C98" s="7" t="s">
        <v>506</v>
      </c>
      <c r="D98" s="7" t="s">
        <v>61</v>
      </c>
      <c r="E98" s="9">
        <v>1313</v>
      </c>
      <c r="F98" s="9">
        <v>23</v>
      </c>
      <c r="G98" s="9">
        <v>0</v>
      </c>
      <c r="H98" s="11">
        <v>0</v>
      </c>
      <c r="I98" s="7" t="s">
        <v>232</v>
      </c>
    </row>
    <row r="99" spans="1:9" ht="21" customHeight="1">
      <c r="A99" s="7" t="s">
        <v>48</v>
      </c>
      <c r="B99" s="7" t="s">
        <v>234</v>
      </c>
      <c r="C99" s="7" t="s">
        <v>507</v>
      </c>
      <c r="D99" s="7" t="s">
        <v>61</v>
      </c>
      <c r="E99" s="9">
        <v>8</v>
      </c>
      <c r="F99" s="9">
        <v>0</v>
      </c>
      <c r="G99" s="9">
        <v>0</v>
      </c>
      <c r="H99" s="11">
        <v>0</v>
      </c>
      <c r="I99" s="7" t="s">
        <v>234</v>
      </c>
    </row>
    <row r="100" spans="1:9" ht="21" customHeight="1">
      <c r="A100" s="7" t="s">
        <v>48</v>
      </c>
      <c r="B100" s="7" t="s">
        <v>236</v>
      </c>
      <c r="C100" s="7" t="s">
        <v>467</v>
      </c>
      <c r="D100" s="7" t="s">
        <v>213</v>
      </c>
      <c r="E100" s="9">
        <v>3</v>
      </c>
      <c r="F100" s="9">
        <v>0</v>
      </c>
      <c r="G100" s="9">
        <v>0</v>
      </c>
      <c r="H100" s="11">
        <v>0</v>
      </c>
      <c r="I100" s="7" t="s">
        <v>236</v>
      </c>
    </row>
    <row r="101" spans="1:9" ht="21" customHeight="1">
      <c r="A101" s="7" t="s">
        <v>48</v>
      </c>
      <c r="B101" s="7" t="s">
        <v>238</v>
      </c>
      <c r="C101" s="7" t="s">
        <v>468</v>
      </c>
      <c r="D101" s="7" t="s">
        <v>61</v>
      </c>
      <c r="E101" s="9">
        <v>177</v>
      </c>
      <c r="F101" s="9">
        <v>5</v>
      </c>
      <c r="G101" s="9">
        <v>0</v>
      </c>
      <c r="H101" s="11">
        <v>0</v>
      </c>
      <c r="I101" s="7" t="s">
        <v>238</v>
      </c>
    </row>
    <row r="102" spans="1:9" ht="21" customHeight="1">
      <c r="A102" s="7" t="s">
        <v>49</v>
      </c>
      <c r="B102" s="7" t="s">
        <v>240</v>
      </c>
      <c r="C102" s="7" t="s">
        <v>508</v>
      </c>
      <c r="D102" s="7" t="s">
        <v>242</v>
      </c>
      <c r="E102" s="9">
        <v>1</v>
      </c>
      <c r="F102" s="9">
        <v>0</v>
      </c>
      <c r="G102" s="9">
        <v>0</v>
      </c>
      <c r="H102" s="11">
        <v>0</v>
      </c>
      <c r="I102" s="7" t="s">
        <v>240</v>
      </c>
    </row>
    <row r="103" spans="1:9" ht="21" customHeight="1">
      <c r="A103" s="7" t="s">
        <v>49</v>
      </c>
      <c r="B103" s="7" t="s">
        <v>243</v>
      </c>
      <c r="C103" s="7" t="s">
        <v>509</v>
      </c>
      <c r="D103" s="7" t="s">
        <v>242</v>
      </c>
      <c r="E103" s="9">
        <v>2</v>
      </c>
      <c r="F103" s="9">
        <v>0</v>
      </c>
      <c r="G103" s="9">
        <v>0</v>
      </c>
      <c r="H103" s="11">
        <v>0</v>
      </c>
      <c r="I103" s="7" t="s">
        <v>243</v>
      </c>
    </row>
    <row r="104" spans="1:9" ht="21" customHeight="1">
      <c r="A104" s="7" t="s">
        <v>49</v>
      </c>
      <c r="B104" s="7" t="s">
        <v>354</v>
      </c>
      <c r="C104" s="7" t="s">
        <v>510</v>
      </c>
      <c r="D104" s="7" t="s">
        <v>61</v>
      </c>
      <c r="E104" s="9">
        <v>1</v>
      </c>
      <c r="F104" s="9">
        <v>0</v>
      </c>
      <c r="G104" s="9">
        <v>0</v>
      </c>
      <c r="H104" s="11">
        <v>0</v>
      </c>
      <c r="I104" s="7" t="s">
        <v>354</v>
      </c>
    </row>
    <row r="105" spans="1:9" ht="21" customHeight="1">
      <c r="A105" s="7" t="s">
        <v>50</v>
      </c>
      <c r="B105" s="7" t="s">
        <v>255</v>
      </c>
      <c r="C105" s="7" t="s">
        <v>511</v>
      </c>
      <c r="D105" s="7" t="s">
        <v>250</v>
      </c>
      <c r="E105" s="9">
        <v>49</v>
      </c>
      <c r="F105" s="9">
        <v>0</v>
      </c>
      <c r="G105" s="9">
        <v>22</v>
      </c>
      <c r="H105" s="11">
        <v>0.69999699999999998</v>
      </c>
      <c r="I105" s="7" t="s">
        <v>255</v>
      </c>
    </row>
    <row r="106" spans="1:9" ht="21" customHeight="1">
      <c r="A106" s="7" t="s">
        <v>50</v>
      </c>
      <c r="B106" s="7" t="s">
        <v>249</v>
      </c>
      <c r="C106" s="7" t="s">
        <v>249</v>
      </c>
      <c r="D106" s="7" t="s">
        <v>250</v>
      </c>
      <c r="E106" s="9">
        <v>459</v>
      </c>
      <c r="F106" s="9">
        <v>0</v>
      </c>
      <c r="G106" s="9">
        <v>0</v>
      </c>
      <c r="H106" s="11">
        <v>0</v>
      </c>
      <c r="I106" s="7" t="s">
        <v>249</v>
      </c>
    </row>
    <row r="107" spans="1:9" ht="21" customHeight="1">
      <c r="A107" s="7" t="s">
        <v>50</v>
      </c>
      <c r="B107" s="7" t="s">
        <v>251</v>
      </c>
      <c r="C107" s="7" t="s">
        <v>252</v>
      </c>
      <c r="D107" s="7" t="s">
        <v>250</v>
      </c>
      <c r="E107" s="9">
        <v>863</v>
      </c>
      <c r="F107" s="9">
        <v>1</v>
      </c>
      <c r="G107" s="9">
        <v>7</v>
      </c>
      <c r="H107" s="11">
        <v>0</v>
      </c>
      <c r="I107" s="7" t="s">
        <v>251</v>
      </c>
    </row>
    <row r="108" spans="1:9" ht="21" customHeight="1">
      <c r="A108" s="7" t="s">
        <v>51</v>
      </c>
      <c r="B108" s="7" t="s">
        <v>257</v>
      </c>
      <c r="C108" s="7" t="s">
        <v>471</v>
      </c>
      <c r="D108" s="7" t="s">
        <v>259</v>
      </c>
      <c r="E108" s="9">
        <v>71</v>
      </c>
      <c r="F108" s="9">
        <v>0</v>
      </c>
      <c r="G108" s="9">
        <v>0</v>
      </c>
      <c r="H108" s="11">
        <v>0</v>
      </c>
      <c r="I108" s="7" t="s">
        <v>257</v>
      </c>
    </row>
    <row r="109" spans="1:9" ht="21" customHeight="1">
      <c r="A109" s="7" t="s">
        <v>52</v>
      </c>
      <c r="B109" s="7" t="s">
        <v>416</v>
      </c>
      <c r="C109" s="7" t="s">
        <v>472</v>
      </c>
      <c r="D109" s="7" t="s">
        <v>262</v>
      </c>
      <c r="E109" s="9">
        <v>4</v>
      </c>
      <c r="F109" s="9">
        <v>0</v>
      </c>
      <c r="G109" s="9">
        <v>0</v>
      </c>
      <c r="H109" s="11">
        <v>0</v>
      </c>
      <c r="I109" s="7" t="s">
        <v>416</v>
      </c>
    </row>
    <row r="110" spans="1:9" ht="21" customHeight="1">
      <c r="A110" s="7" t="s">
        <v>52</v>
      </c>
      <c r="B110" s="7" t="s">
        <v>260</v>
      </c>
      <c r="C110" s="7" t="s">
        <v>512</v>
      </c>
      <c r="D110" s="7" t="s">
        <v>262</v>
      </c>
      <c r="E110" s="9">
        <v>1525</v>
      </c>
      <c r="F110" s="9">
        <v>0</v>
      </c>
      <c r="G110" s="9">
        <v>0</v>
      </c>
      <c r="H110" s="11">
        <v>0</v>
      </c>
      <c r="I110" s="7" t="s">
        <v>260</v>
      </c>
    </row>
    <row r="111" spans="1:9" ht="21" customHeight="1">
      <c r="A111" s="7" t="s">
        <v>52</v>
      </c>
      <c r="B111" s="7" t="s">
        <v>263</v>
      </c>
      <c r="C111" s="7" t="s">
        <v>513</v>
      </c>
      <c r="D111" s="7" t="s">
        <v>262</v>
      </c>
      <c r="E111" s="9">
        <v>926</v>
      </c>
      <c r="F111" s="9">
        <v>0</v>
      </c>
      <c r="G111" s="9">
        <v>0</v>
      </c>
      <c r="H111" s="11">
        <v>0</v>
      </c>
      <c r="I111" s="7" t="s">
        <v>263</v>
      </c>
    </row>
    <row r="112" spans="1:9" ht="21" customHeight="1">
      <c r="A112" s="7" t="s">
        <v>52</v>
      </c>
      <c r="B112" s="7" t="s">
        <v>265</v>
      </c>
      <c r="C112" s="7" t="s">
        <v>419</v>
      </c>
      <c r="D112" s="7" t="s">
        <v>262</v>
      </c>
      <c r="E112" s="9">
        <v>388</v>
      </c>
      <c r="F112" s="9">
        <v>9</v>
      </c>
      <c r="G112" s="9">
        <v>0</v>
      </c>
      <c r="H112" s="11">
        <v>0</v>
      </c>
      <c r="I112" s="7" t="s">
        <v>265</v>
      </c>
    </row>
    <row r="113" spans="1:9" ht="21" customHeight="1">
      <c r="A113" s="7" t="s">
        <v>52</v>
      </c>
      <c r="B113" s="7" t="s">
        <v>267</v>
      </c>
      <c r="C113" s="7" t="s">
        <v>473</v>
      </c>
      <c r="D113" s="7" t="s">
        <v>262</v>
      </c>
      <c r="E113" s="9">
        <v>22</v>
      </c>
      <c r="F113" s="9">
        <v>0</v>
      </c>
      <c r="G113" s="9">
        <v>0</v>
      </c>
      <c r="H113" s="11">
        <v>0</v>
      </c>
      <c r="I113" s="7" t="s">
        <v>267</v>
      </c>
    </row>
    <row r="114" spans="1:9" ht="21" customHeight="1">
      <c r="A114" s="7" t="s">
        <v>52</v>
      </c>
      <c r="B114" s="7" t="s">
        <v>268</v>
      </c>
      <c r="C114" s="7" t="s">
        <v>514</v>
      </c>
      <c r="D114" s="7" t="s">
        <v>262</v>
      </c>
      <c r="E114" s="9">
        <v>22</v>
      </c>
      <c r="F114" s="9">
        <v>0</v>
      </c>
      <c r="G114" s="9">
        <v>0</v>
      </c>
      <c r="H114" s="11">
        <v>0</v>
      </c>
      <c r="I114" s="7" t="s">
        <v>268</v>
      </c>
    </row>
    <row r="115" spans="1:9" ht="21" customHeight="1">
      <c r="A115" s="7" t="s">
        <v>52</v>
      </c>
      <c r="B115" s="7" t="s">
        <v>269</v>
      </c>
      <c r="C115" s="7" t="s">
        <v>421</v>
      </c>
      <c r="D115" s="7" t="s">
        <v>262</v>
      </c>
      <c r="E115" s="9">
        <v>118</v>
      </c>
      <c r="F115" s="9">
        <v>0</v>
      </c>
      <c r="G115" s="9">
        <v>0</v>
      </c>
      <c r="H115" s="11">
        <v>0</v>
      </c>
      <c r="I115" s="7" t="s">
        <v>269</v>
      </c>
    </row>
    <row r="116" spans="1:9" ht="21" customHeight="1">
      <c r="A116" s="7" t="s">
        <v>52</v>
      </c>
      <c r="B116" s="7" t="s">
        <v>271</v>
      </c>
      <c r="C116" s="7" t="s">
        <v>475</v>
      </c>
      <c r="D116" s="7" t="s">
        <v>262</v>
      </c>
      <c r="E116" s="9">
        <v>77</v>
      </c>
      <c r="F116" s="9">
        <v>0</v>
      </c>
      <c r="G116" s="9">
        <v>0</v>
      </c>
      <c r="H116" s="11">
        <v>0</v>
      </c>
      <c r="I116" s="7" t="s">
        <v>271</v>
      </c>
    </row>
    <row r="117" spans="1:9" ht="21" customHeight="1">
      <c r="A117" s="7" t="s">
        <v>52</v>
      </c>
      <c r="B117" s="7" t="s">
        <v>273</v>
      </c>
      <c r="C117" s="7" t="s">
        <v>476</v>
      </c>
      <c r="D117" s="7" t="s">
        <v>262</v>
      </c>
      <c r="E117" s="9">
        <v>1251</v>
      </c>
      <c r="F117" s="9">
        <v>0</v>
      </c>
      <c r="G117" s="9">
        <v>0</v>
      </c>
      <c r="H117" s="11">
        <v>0</v>
      </c>
      <c r="I117" s="7" t="s">
        <v>273</v>
      </c>
    </row>
    <row r="118" spans="1:9" ht="21" customHeight="1">
      <c r="A118" s="7" t="s">
        <v>52</v>
      </c>
      <c r="B118" s="7" t="s">
        <v>275</v>
      </c>
      <c r="C118" s="7" t="s">
        <v>477</v>
      </c>
      <c r="D118" s="7" t="s">
        <v>262</v>
      </c>
      <c r="E118" s="9">
        <v>24</v>
      </c>
      <c r="F118" s="9">
        <v>0</v>
      </c>
      <c r="G118" s="9">
        <v>0</v>
      </c>
      <c r="H118" s="11">
        <v>0</v>
      </c>
      <c r="I118" s="7" t="s">
        <v>275</v>
      </c>
    </row>
    <row r="119" spans="1:9" ht="21" customHeight="1">
      <c r="A119" s="7" t="s">
        <v>52</v>
      </c>
      <c r="B119" s="7" t="s">
        <v>277</v>
      </c>
      <c r="C119" s="7" t="s">
        <v>478</v>
      </c>
      <c r="D119" s="7" t="s">
        <v>262</v>
      </c>
      <c r="E119" s="9">
        <v>285</v>
      </c>
      <c r="F119" s="9">
        <v>0</v>
      </c>
      <c r="G119" s="9">
        <v>0</v>
      </c>
      <c r="H119" s="11">
        <v>0</v>
      </c>
      <c r="I119" s="7" t="s">
        <v>277</v>
      </c>
    </row>
    <row r="120" spans="1:9" ht="21" customHeight="1">
      <c r="A120" s="7" t="s">
        <v>52</v>
      </c>
      <c r="B120" s="7" t="s">
        <v>279</v>
      </c>
      <c r="C120" s="7" t="s">
        <v>479</v>
      </c>
      <c r="D120" s="7" t="s">
        <v>262</v>
      </c>
      <c r="E120" s="9">
        <v>57</v>
      </c>
      <c r="F120" s="9">
        <v>0</v>
      </c>
      <c r="G120" s="9">
        <v>0</v>
      </c>
      <c r="H120" s="11">
        <v>0</v>
      </c>
      <c r="I120" s="7" t="s">
        <v>279</v>
      </c>
    </row>
    <row r="121" spans="1:9" ht="21" customHeight="1">
      <c r="A121" s="7" t="s">
        <v>52</v>
      </c>
      <c r="B121" s="7" t="s">
        <v>280</v>
      </c>
      <c r="C121" s="7" t="s">
        <v>480</v>
      </c>
      <c r="D121" s="7" t="s">
        <v>262</v>
      </c>
      <c r="E121" s="9">
        <v>12</v>
      </c>
      <c r="F121" s="9">
        <v>0</v>
      </c>
      <c r="G121" s="9">
        <v>0</v>
      </c>
      <c r="H121" s="11">
        <v>0</v>
      </c>
      <c r="I121" s="7" t="s">
        <v>280</v>
      </c>
    </row>
    <row r="122" spans="1:9" ht="21" customHeight="1">
      <c r="A122" s="7" t="s">
        <v>52</v>
      </c>
      <c r="B122" s="7" t="s">
        <v>281</v>
      </c>
      <c r="C122" s="7" t="s">
        <v>424</v>
      </c>
      <c r="D122" s="7" t="s">
        <v>262</v>
      </c>
      <c r="E122" s="9">
        <v>10</v>
      </c>
      <c r="F122" s="9">
        <v>0</v>
      </c>
      <c r="G122" s="9">
        <v>0</v>
      </c>
      <c r="H122" s="11">
        <v>0</v>
      </c>
      <c r="I122" s="7" t="s">
        <v>281</v>
      </c>
    </row>
    <row r="123" spans="1:9" ht="21" customHeight="1">
      <c r="A123" s="7" t="s">
        <v>52</v>
      </c>
      <c r="B123" s="7" t="s">
        <v>482</v>
      </c>
      <c r="C123" s="7" t="s">
        <v>483</v>
      </c>
      <c r="D123" s="7" t="s">
        <v>262</v>
      </c>
      <c r="E123" s="9">
        <v>1</v>
      </c>
      <c r="F123" s="9">
        <v>0</v>
      </c>
      <c r="G123" s="9">
        <v>0</v>
      </c>
      <c r="H123" s="11">
        <v>0</v>
      </c>
      <c r="I123" s="7" t="s">
        <v>482</v>
      </c>
    </row>
    <row r="124" spans="1:9" ht="21" customHeight="1">
      <c r="A124" s="7" t="s">
        <v>52</v>
      </c>
      <c r="B124" s="7" t="s">
        <v>283</v>
      </c>
      <c r="C124" s="7" t="s">
        <v>484</v>
      </c>
      <c r="D124" s="7" t="s">
        <v>262</v>
      </c>
      <c r="E124" s="9">
        <v>59</v>
      </c>
      <c r="F124" s="9">
        <v>0</v>
      </c>
      <c r="G124" s="9">
        <v>0</v>
      </c>
      <c r="H124" s="11">
        <v>0</v>
      </c>
      <c r="I124" s="7" t="s">
        <v>283</v>
      </c>
    </row>
    <row r="125" spans="1:9" ht="21" customHeight="1">
      <c r="A125" s="8" t="s">
        <v>52</v>
      </c>
      <c r="B125" s="8" t="s">
        <v>286</v>
      </c>
      <c r="C125" s="8" t="s">
        <v>426</v>
      </c>
      <c r="D125" s="8" t="s">
        <v>262</v>
      </c>
      <c r="E125" s="10">
        <v>43</v>
      </c>
      <c r="F125" s="10">
        <v>0</v>
      </c>
      <c r="G125" s="10">
        <v>0</v>
      </c>
      <c r="H125" s="12">
        <v>0</v>
      </c>
      <c r="I125" s="8" t="s">
        <v>286</v>
      </c>
    </row>
    <row r="127" spans="1:9">
      <c r="A127" s="21" t="s">
        <v>288</v>
      </c>
      <c r="B127" s="22"/>
      <c r="C127" s="22"/>
      <c r="D127" s="22"/>
      <c r="E127" s="13">
        <f>SUM(E6:E125)</f>
        <v>688102</v>
      </c>
      <c r="F127" s="13">
        <f>SUM(F6:F125)</f>
        <v>40662</v>
      </c>
      <c r="G127" s="13">
        <f>SUM(G6:G125)</f>
        <v>1252</v>
      </c>
      <c r="H127" s="14">
        <f>SUM(H6:H125)</f>
        <v>2050207.9072769999</v>
      </c>
    </row>
  </sheetData>
  <mergeCells count="1">
    <mergeCell ref="A127:D12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</sheetPr>
  <dimension ref="A1:I1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29" customWidth="1"/>
    <col min="2" max="2" width="31" customWidth="1"/>
    <col min="3" max="3" width="48" customWidth="1"/>
    <col min="4" max="4" width="29" customWidth="1"/>
    <col min="5" max="7" width="17" customWidth="1"/>
    <col min="8" max="8" width="20" customWidth="1"/>
    <col min="9" max="9" width="38" customWidth="1"/>
  </cols>
  <sheetData>
    <row r="1" spans="1:9" ht="8" customHeight="1"/>
    <row r="2" spans="1:9" ht="19">
      <c r="A2" s="1" t="s">
        <v>515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516</v>
      </c>
    </row>
    <row r="5" spans="1:9" ht="30" customHeight="1">
      <c r="A5" s="4" t="s">
        <v>35</v>
      </c>
      <c r="B5" s="5" t="s">
        <v>55</v>
      </c>
      <c r="C5" s="5" t="s">
        <v>56</v>
      </c>
      <c r="D5" s="5" t="s">
        <v>57</v>
      </c>
      <c r="E5" s="5" t="s">
        <v>36</v>
      </c>
      <c r="F5" s="5" t="s">
        <v>37</v>
      </c>
      <c r="G5" s="5" t="s">
        <v>38</v>
      </c>
      <c r="H5" s="5" t="s">
        <v>39</v>
      </c>
      <c r="I5" s="6" t="s">
        <v>58</v>
      </c>
    </row>
    <row r="6" spans="1:9" ht="21" customHeight="1">
      <c r="A6" s="7" t="s">
        <v>41</v>
      </c>
      <c r="B6" s="7" t="s">
        <v>59</v>
      </c>
      <c r="C6" s="7" t="s">
        <v>60</v>
      </c>
      <c r="D6" s="7" t="s">
        <v>61</v>
      </c>
      <c r="E6" s="9">
        <v>196587</v>
      </c>
      <c r="F6" s="9">
        <v>14143</v>
      </c>
      <c r="G6" s="9">
        <v>394</v>
      </c>
      <c r="H6" s="11">
        <v>677627.13755900005</v>
      </c>
      <c r="I6" s="7" t="s">
        <v>59</v>
      </c>
    </row>
    <row r="7" spans="1:9" ht="21" customHeight="1">
      <c r="A7" s="7" t="s">
        <v>41</v>
      </c>
      <c r="B7" s="7" t="s">
        <v>62</v>
      </c>
      <c r="C7" s="7" t="s">
        <v>63</v>
      </c>
      <c r="D7" s="7" t="s">
        <v>61</v>
      </c>
      <c r="E7" s="9">
        <v>139724</v>
      </c>
      <c r="F7" s="9">
        <v>7126</v>
      </c>
      <c r="G7" s="9">
        <v>110</v>
      </c>
      <c r="H7" s="11">
        <v>545317.05017199996</v>
      </c>
      <c r="I7" s="7" t="s">
        <v>62</v>
      </c>
    </row>
    <row r="8" spans="1:9" ht="21" customHeight="1">
      <c r="A8" s="7" t="s">
        <v>41</v>
      </c>
      <c r="B8" s="7" t="s">
        <v>64</v>
      </c>
      <c r="C8" s="7" t="s">
        <v>65</v>
      </c>
      <c r="D8" s="7" t="s">
        <v>61</v>
      </c>
      <c r="E8" s="9">
        <v>104224</v>
      </c>
      <c r="F8" s="9">
        <v>5751</v>
      </c>
      <c r="G8" s="9">
        <v>51</v>
      </c>
      <c r="H8" s="11">
        <v>217049.999992</v>
      </c>
      <c r="I8" s="7" t="s">
        <v>64</v>
      </c>
    </row>
    <row r="9" spans="1:9" ht="21" customHeight="1">
      <c r="A9" s="7" t="s">
        <v>41</v>
      </c>
      <c r="B9" s="7" t="s">
        <v>66</v>
      </c>
      <c r="C9" s="7" t="s">
        <v>67</v>
      </c>
      <c r="D9" s="7" t="s">
        <v>61</v>
      </c>
      <c r="E9" s="9">
        <v>41386</v>
      </c>
      <c r="F9" s="9">
        <v>2574</v>
      </c>
      <c r="G9" s="9">
        <v>62</v>
      </c>
      <c r="H9" s="11">
        <v>181812.89989900001</v>
      </c>
      <c r="I9" s="7" t="s">
        <v>66</v>
      </c>
    </row>
    <row r="10" spans="1:9" ht="21" customHeight="1">
      <c r="A10" s="7" t="s">
        <v>41</v>
      </c>
      <c r="B10" s="7" t="s">
        <v>70</v>
      </c>
      <c r="C10" s="7" t="s">
        <v>71</v>
      </c>
      <c r="D10" s="7" t="s">
        <v>61</v>
      </c>
      <c r="E10" s="9">
        <v>12851</v>
      </c>
      <c r="F10" s="9">
        <v>539</v>
      </c>
      <c r="G10" s="9">
        <v>15</v>
      </c>
      <c r="H10" s="11">
        <v>28925.000002000001</v>
      </c>
      <c r="I10" s="7" t="s">
        <v>70</v>
      </c>
    </row>
    <row r="11" spans="1:9" ht="21" customHeight="1">
      <c r="A11" s="7" t="s">
        <v>41</v>
      </c>
      <c r="B11" s="7" t="s">
        <v>72</v>
      </c>
      <c r="C11" s="7" t="s">
        <v>73</v>
      </c>
      <c r="D11" s="7" t="s">
        <v>61</v>
      </c>
      <c r="E11" s="9">
        <v>7256</v>
      </c>
      <c r="F11" s="9">
        <v>435</v>
      </c>
      <c r="G11" s="9">
        <v>4</v>
      </c>
      <c r="H11" s="11">
        <v>6893.7940820000003</v>
      </c>
      <c r="I11" s="7" t="s">
        <v>72</v>
      </c>
    </row>
    <row r="12" spans="1:9" ht="21" customHeight="1">
      <c r="A12" s="7" t="s">
        <v>41</v>
      </c>
      <c r="B12" s="7" t="s">
        <v>68</v>
      </c>
      <c r="C12" s="7" t="s">
        <v>69</v>
      </c>
      <c r="D12" s="7" t="s">
        <v>61</v>
      </c>
      <c r="E12" s="9">
        <v>44063</v>
      </c>
      <c r="F12" s="9">
        <v>3636</v>
      </c>
      <c r="G12" s="9">
        <v>1</v>
      </c>
      <c r="H12" s="11">
        <v>834.999999</v>
      </c>
      <c r="I12" s="7" t="s">
        <v>68</v>
      </c>
    </row>
    <row r="13" spans="1:9" ht="21" customHeight="1">
      <c r="A13" s="7" t="s">
        <v>42</v>
      </c>
      <c r="B13" s="7" t="s">
        <v>82</v>
      </c>
      <c r="C13" s="7" t="s">
        <v>83</v>
      </c>
      <c r="D13" s="7" t="s">
        <v>61</v>
      </c>
      <c r="E13" s="9">
        <v>17128</v>
      </c>
      <c r="F13" s="9">
        <v>1273</v>
      </c>
      <c r="G13" s="9">
        <v>68</v>
      </c>
      <c r="H13" s="11">
        <v>42088.905076000003</v>
      </c>
      <c r="I13" s="7" t="s">
        <v>82</v>
      </c>
    </row>
    <row r="14" spans="1:9" ht="21" customHeight="1">
      <c r="A14" s="7" t="s">
        <v>42</v>
      </c>
      <c r="B14" s="7" t="s">
        <v>78</v>
      </c>
      <c r="C14" s="7" t="s">
        <v>79</v>
      </c>
      <c r="D14" s="7" t="s">
        <v>61</v>
      </c>
      <c r="E14" s="9">
        <v>24872</v>
      </c>
      <c r="F14" s="9">
        <v>1764</v>
      </c>
      <c r="G14" s="9">
        <v>100</v>
      </c>
      <c r="H14" s="11">
        <v>33301.090962000002</v>
      </c>
      <c r="I14" s="7" t="s">
        <v>78</v>
      </c>
    </row>
    <row r="15" spans="1:9" ht="21" customHeight="1">
      <c r="A15" s="7" t="s">
        <v>42</v>
      </c>
      <c r="B15" s="7" t="s">
        <v>76</v>
      </c>
      <c r="C15" s="7" t="s">
        <v>487</v>
      </c>
      <c r="D15" s="7" t="s">
        <v>61</v>
      </c>
      <c r="E15" s="9">
        <v>22015</v>
      </c>
      <c r="F15" s="9">
        <v>1449</v>
      </c>
      <c r="G15" s="9">
        <v>70</v>
      </c>
      <c r="H15" s="11">
        <v>31990.417748</v>
      </c>
      <c r="I15" s="7" t="s">
        <v>76</v>
      </c>
    </row>
    <row r="16" spans="1:9" ht="21" customHeight="1">
      <c r="A16" s="7" t="s">
        <v>42</v>
      </c>
      <c r="B16" s="7" t="s">
        <v>90</v>
      </c>
      <c r="C16" s="7" t="s">
        <v>91</v>
      </c>
      <c r="D16" s="7" t="s">
        <v>61</v>
      </c>
      <c r="E16" s="9">
        <v>13794</v>
      </c>
      <c r="F16" s="9">
        <v>692</v>
      </c>
      <c r="G16" s="9">
        <v>43</v>
      </c>
      <c r="H16" s="11">
        <v>31187.029649</v>
      </c>
      <c r="I16" s="7" t="s">
        <v>90</v>
      </c>
    </row>
    <row r="17" spans="1:9" ht="21" customHeight="1">
      <c r="A17" s="7" t="s">
        <v>42</v>
      </c>
      <c r="B17" s="7" t="s">
        <v>74</v>
      </c>
      <c r="C17" s="7" t="s">
        <v>517</v>
      </c>
      <c r="D17" s="7" t="s">
        <v>61</v>
      </c>
      <c r="E17" s="9">
        <v>13754</v>
      </c>
      <c r="F17" s="9">
        <v>655</v>
      </c>
      <c r="G17" s="9">
        <v>43</v>
      </c>
      <c r="H17" s="11">
        <v>22938.959912999999</v>
      </c>
      <c r="I17" s="7" t="s">
        <v>74</v>
      </c>
    </row>
    <row r="18" spans="1:9" ht="21" customHeight="1">
      <c r="A18" s="7" t="s">
        <v>42</v>
      </c>
      <c r="B18" s="7" t="s">
        <v>84</v>
      </c>
      <c r="C18" s="7" t="s">
        <v>85</v>
      </c>
      <c r="D18" s="7" t="s">
        <v>61</v>
      </c>
      <c r="E18" s="9">
        <v>1410</v>
      </c>
      <c r="F18" s="9">
        <v>73</v>
      </c>
      <c r="G18" s="9">
        <v>3</v>
      </c>
      <c r="H18" s="11">
        <v>17879.999997999999</v>
      </c>
      <c r="I18" s="7" t="s">
        <v>84</v>
      </c>
    </row>
    <row r="19" spans="1:9" ht="21" customHeight="1">
      <c r="A19" s="7" t="s">
        <v>42</v>
      </c>
      <c r="B19" s="7" t="s">
        <v>80</v>
      </c>
      <c r="C19" s="7" t="s">
        <v>81</v>
      </c>
      <c r="D19" s="7" t="s">
        <v>61</v>
      </c>
      <c r="E19" s="9">
        <v>7093</v>
      </c>
      <c r="F19" s="9">
        <v>239</v>
      </c>
      <c r="G19" s="9">
        <v>10</v>
      </c>
      <c r="H19" s="11">
        <v>14225.000004</v>
      </c>
      <c r="I19" s="7" t="s">
        <v>80</v>
      </c>
    </row>
    <row r="20" spans="1:9" ht="21" customHeight="1">
      <c r="A20" s="7" t="s">
        <v>42</v>
      </c>
      <c r="B20" s="7" t="s">
        <v>92</v>
      </c>
      <c r="C20" s="7" t="s">
        <v>491</v>
      </c>
      <c r="D20" s="7" t="s">
        <v>61</v>
      </c>
      <c r="E20" s="9">
        <v>6315</v>
      </c>
      <c r="F20" s="9">
        <v>265</v>
      </c>
      <c r="G20" s="9">
        <v>14</v>
      </c>
      <c r="H20" s="11">
        <v>12365.000002000001</v>
      </c>
      <c r="I20" s="7" t="s">
        <v>92</v>
      </c>
    </row>
    <row r="21" spans="1:9" ht="21" customHeight="1">
      <c r="A21" s="7" t="s">
        <v>42</v>
      </c>
      <c r="B21" s="7" t="s">
        <v>88</v>
      </c>
      <c r="C21" s="7" t="s">
        <v>488</v>
      </c>
      <c r="D21" s="7" t="s">
        <v>61</v>
      </c>
      <c r="E21" s="9">
        <v>12985</v>
      </c>
      <c r="F21" s="9">
        <v>818</v>
      </c>
      <c r="G21" s="9">
        <v>38</v>
      </c>
      <c r="H21" s="11">
        <v>10167.363942</v>
      </c>
      <c r="I21" s="7" t="s">
        <v>88</v>
      </c>
    </row>
    <row r="22" spans="1:9" ht="21" customHeight="1">
      <c r="A22" s="7" t="s">
        <v>42</v>
      </c>
      <c r="B22" s="7" t="s">
        <v>86</v>
      </c>
      <c r="C22" s="7" t="s">
        <v>490</v>
      </c>
      <c r="D22" s="7" t="s">
        <v>61</v>
      </c>
      <c r="E22" s="9">
        <v>4077</v>
      </c>
      <c r="F22" s="9">
        <v>184</v>
      </c>
      <c r="G22" s="9">
        <v>15</v>
      </c>
      <c r="H22" s="11">
        <v>4885.4130100000002</v>
      </c>
      <c r="I22" s="7" t="s">
        <v>86</v>
      </c>
    </row>
    <row r="23" spans="1:9" ht="21" customHeight="1">
      <c r="A23" s="7" t="s">
        <v>42</v>
      </c>
      <c r="B23" s="7" t="s">
        <v>96</v>
      </c>
      <c r="C23" s="7" t="s">
        <v>97</v>
      </c>
      <c r="D23" s="7" t="s">
        <v>61</v>
      </c>
      <c r="E23" s="9">
        <v>1696</v>
      </c>
      <c r="F23" s="9">
        <v>112</v>
      </c>
      <c r="G23" s="9">
        <v>2</v>
      </c>
      <c r="H23" s="11">
        <v>1755</v>
      </c>
      <c r="I23" s="7" t="s">
        <v>96</v>
      </c>
    </row>
    <row r="24" spans="1:9" ht="21" customHeight="1">
      <c r="A24" s="7" t="s">
        <v>42</v>
      </c>
      <c r="B24" s="7" t="s">
        <v>98</v>
      </c>
      <c r="C24" s="7" t="s">
        <v>430</v>
      </c>
      <c r="D24" s="7" t="s">
        <v>61</v>
      </c>
      <c r="E24" s="9">
        <v>2899</v>
      </c>
      <c r="F24" s="9">
        <v>123</v>
      </c>
      <c r="G24" s="9">
        <v>1</v>
      </c>
      <c r="H24" s="11">
        <v>1300</v>
      </c>
      <c r="I24" s="7" t="s">
        <v>98</v>
      </c>
    </row>
    <row r="25" spans="1:9" ht="21" customHeight="1">
      <c r="A25" s="7" t="s">
        <v>42</v>
      </c>
      <c r="B25" s="7" t="s">
        <v>104</v>
      </c>
      <c r="C25" s="7" t="s">
        <v>300</v>
      </c>
      <c r="D25" s="7" t="s">
        <v>61</v>
      </c>
      <c r="E25" s="9">
        <v>364</v>
      </c>
      <c r="F25" s="9">
        <v>7</v>
      </c>
      <c r="G25" s="9">
        <v>1</v>
      </c>
      <c r="H25" s="11">
        <v>1064.9999989999999</v>
      </c>
      <c r="I25" s="7" t="s">
        <v>104</v>
      </c>
    </row>
    <row r="26" spans="1:9" ht="21" customHeight="1">
      <c r="A26" s="7" t="s">
        <v>42</v>
      </c>
      <c r="B26" s="7" t="s">
        <v>100</v>
      </c>
      <c r="C26" s="7" t="s">
        <v>431</v>
      </c>
      <c r="D26" s="7" t="s">
        <v>61</v>
      </c>
      <c r="E26" s="9">
        <v>558</v>
      </c>
      <c r="F26" s="9">
        <v>20</v>
      </c>
      <c r="G26" s="9">
        <v>0</v>
      </c>
      <c r="H26" s="11">
        <v>0</v>
      </c>
      <c r="I26" s="7" t="s">
        <v>100</v>
      </c>
    </row>
    <row r="27" spans="1:9" ht="21" customHeight="1">
      <c r="A27" s="7" t="s">
        <v>42</v>
      </c>
      <c r="B27" s="7" t="s">
        <v>102</v>
      </c>
      <c r="C27" s="7" t="s">
        <v>298</v>
      </c>
      <c r="D27" s="7" t="s">
        <v>61</v>
      </c>
      <c r="E27" s="9">
        <v>114</v>
      </c>
      <c r="F27" s="9">
        <v>0</v>
      </c>
      <c r="G27" s="9">
        <v>0</v>
      </c>
      <c r="H27" s="11">
        <v>0</v>
      </c>
      <c r="I27" s="7" t="s">
        <v>102</v>
      </c>
    </row>
    <row r="28" spans="1:9" ht="21" customHeight="1">
      <c r="A28" s="7" t="s">
        <v>42</v>
      </c>
      <c r="B28" s="7" t="s">
        <v>106</v>
      </c>
      <c r="C28" s="7" t="s">
        <v>432</v>
      </c>
      <c r="D28" s="7" t="s">
        <v>61</v>
      </c>
      <c r="E28" s="9">
        <v>19</v>
      </c>
      <c r="F28" s="9">
        <v>0</v>
      </c>
      <c r="G28" s="9">
        <v>0</v>
      </c>
      <c r="H28" s="11">
        <v>0</v>
      </c>
      <c r="I28" s="7" t="s">
        <v>106</v>
      </c>
    </row>
    <row r="29" spans="1:9" ht="21" customHeight="1">
      <c r="A29" s="7" t="s">
        <v>42</v>
      </c>
      <c r="B29" s="7" t="s">
        <v>108</v>
      </c>
      <c r="C29" s="7" t="s">
        <v>293</v>
      </c>
      <c r="D29" s="7" t="s">
        <v>61</v>
      </c>
      <c r="E29" s="9">
        <v>172</v>
      </c>
      <c r="F29" s="9">
        <v>0</v>
      </c>
      <c r="G29" s="9">
        <v>0</v>
      </c>
      <c r="H29" s="11">
        <v>0</v>
      </c>
      <c r="I29" s="7" t="s">
        <v>108</v>
      </c>
    </row>
    <row r="30" spans="1:9" ht="21" customHeight="1">
      <c r="A30" s="7" t="s">
        <v>42</v>
      </c>
      <c r="B30" s="7" t="s">
        <v>110</v>
      </c>
      <c r="C30" s="7" t="s">
        <v>433</v>
      </c>
      <c r="D30" s="7" t="s">
        <v>61</v>
      </c>
      <c r="E30" s="9">
        <v>22</v>
      </c>
      <c r="F30" s="9">
        <v>0</v>
      </c>
      <c r="G30" s="9">
        <v>0</v>
      </c>
      <c r="H30" s="11">
        <v>0</v>
      </c>
      <c r="I30" s="7" t="s">
        <v>110</v>
      </c>
    </row>
    <row r="31" spans="1:9" ht="21" customHeight="1">
      <c r="A31" s="7" t="s">
        <v>42</v>
      </c>
      <c r="B31" s="7" t="s">
        <v>112</v>
      </c>
      <c r="C31" s="7" t="s">
        <v>294</v>
      </c>
      <c r="D31" s="7" t="s">
        <v>61</v>
      </c>
      <c r="E31" s="9">
        <v>312</v>
      </c>
      <c r="F31" s="9">
        <v>1</v>
      </c>
      <c r="G31" s="9">
        <v>0</v>
      </c>
      <c r="H31" s="11">
        <v>0</v>
      </c>
      <c r="I31" s="7" t="s">
        <v>112</v>
      </c>
    </row>
    <row r="32" spans="1:9" ht="21" customHeight="1">
      <c r="A32" s="7" t="s">
        <v>42</v>
      </c>
      <c r="B32" s="7" t="s">
        <v>94</v>
      </c>
      <c r="C32" s="7" t="s">
        <v>95</v>
      </c>
      <c r="D32" s="7" t="s">
        <v>61</v>
      </c>
      <c r="E32" s="9">
        <v>1974</v>
      </c>
      <c r="F32" s="9">
        <v>54</v>
      </c>
      <c r="G32" s="9">
        <v>0</v>
      </c>
      <c r="H32" s="11">
        <v>0</v>
      </c>
      <c r="I32" s="7" t="s">
        <v>94</v>
      </c>
    </row>
    <row r="33" spans="1:9" ht="21" customHeight="1">
      <c r="A33" s="7" t="s">
        <v>42</v>
      </c>
      <c r="B33" s="7" t="s">
        <v>114</v>
      </c>
      <c r="C33" s="7" t="s">
        <v>518</v>
      </c>
      <c r="D33" s="7" t="s">
        <v>61</v>
      </c>
      <c r="E33" s="9">
        <v>18</v>
      </c>
      <c r="F33" s="9">
        <v>0</v>
      </c>
      <c r="G33" s="9">
        <v>0</v>
      </c>
      <c r="H33" s="11">
        <v>0</v>
      </c>
      <c r="I33" s="7" t="s">
        <v>114</v>
      </c>
    </row>
    <row r="34" spans="1:9" ht="21" customHeight="1">
      <c r="A34" s="7" t="s">
        <v>42</v>
      </c>
      <c r="B34" s="7" t="s">
        <v>116</v>
      </c>
      <c r="C34" s="7" t="s">
        <v>434</v>
      </c>
      <c r="D34" s="7" t="s">
        <v>61</v>
      </c>
      <c r="E34" s="9">
        <v>60</v>
      </c>
      <c r="F34" s="9">
        <v>0</v>
      </c>
      <c r="G34" s="9">
        <v>0</v>
      </c>
      <c r="H34" s="11">
        <v>0</v>
      </c>
      <c r="I34" s="7" t="s">
        <v>116</v>
      </c>
    </row>
    <row r="35" spans="1:9" ht="21" customHeight="1">
      <c r="A35" s="7" t="s">
        <v>43</v>
      </c>
      <c r="B35" s="7" t="s">
        <v>121</v>
      </c>
      <c r="C35" s="7" t="s">
        <v>122</v>
      </c>
      <c r="D35" s="7" t="s">
        <v>61</v>
      </c>
      <c r="E35" s="9">
        <v>14902</v>
      </c>
      <c r="F35" s="9">
        <v>820</v>
      </c>
      <c r="G35" s="9">
        <v>35</v>
      </c>
      <c r="H35" s="11">
        <v>7620.7130580000003</v>
      </c>
      <c r="I35" s="7" t="s">
        <v>121</v>
      </c>
    </row>
    <row r="36" spans="1:9" ht="21" customHeight="1">
      <c r="A36" s="7" t="s">
        <v>43</v>
      </c>
      <c r="B36" s="7" t="s">
        <v>117</v>
      </c>
      <c r="C36" s="7" t="s">
        <v>492</v>
      </c>
      <c r="D36" s="7" t="s">
        <v>61</v>
      </c>
      <c r="E36" s="9">
        <v>7268</v>
      </c>
      <c r="F36" s="9">
        <v>280</v>
      </c>
      <c r="G36" s="9">
        <v>3</v>
      </c>
      <c r="H36" s="11">
        <v>2955.000004</v>
      </c>
      <c r="I36" s="7" t="s">
        <v>117</v>
      </c>
    </row>
    <row r="37" spans="1:9" ht="21" customHeight="1">
      <c r="A37" s="7" t="s">
        <v>43</v>
      </c>
      <c r="B37" s="7" t="s">
        <v>119</v>
      </c>
      <c r="C37" s="7" t="s">
        <v>435</v>
      </c>
      <c r="D37" s="7" t="s">
        <v>61</v>
      </c>
      <c r="E37" s="9">
        <v>2661</v>
      </c>
      <c r="F37" s="9">
        <v>102</v>
      </c>
      <c r="G37" s="9">
        <v>4</v>
      </c>
      <c r="H37" s="11">
        <v>2690.419179</v>
      </c>
      <c r="I37" s="7" t="s">
        <v>119</v>
      </c>
    </row>
    <row r="38" spans="1:9" ht="21" customHeight="1">
      <c r="A38" s="7" t="s">
        <v>43</v>
      </c>
      <c r="B38" s="7" t="s">
        <v>436</v>
      </c>
      <c r="C38" s="7" t="s">
        <v>437</v>
      </c>
      <c r="D38" s="7" t="s">
        <v>61</v>
      </c>
      <c r="E38" s="9">
        <v>2851</v>
      </c>
      <c r="F38" s="9">
        <v>129</v>
      </c>
      <c r="G38" s="9">
        <v>3</v>
      </c>
      <c r="H38" s="11">
        <v>1080.0000010000001</v>
      </c>
      <c r="I38" s="7" t="s">
        <v>436</v>
      </c>
    </row>
    <row r="39" spans="1:9" ht="21" customHeight="1">
      <c r="A39" s="7" t="s">
        <v>44</v>
      </c>
      <c r="B39" s="7" t="s">
        <v>125</v>
      </c>
      <c r="C39" s="7" t="s">
        <v>126</v>
      </c>
      <c r="D39" s="7" t="s">
        <v>61</v>
      </c>
      <c r="E39" s="9">
        <v>4075</v>
      </c>
      <c r="F39" s="9">
        <v>185</v>
      </c>
      <c r="G39" s="9">
        <v>6</v>
      </c>
      <c r="H39" s="11">
        <v>30934.831406000001</v>
      </c>
      <c r="I39" s="7" t="s">
        <v>125</v>
      </c>
    </row>
    <row r="40" spans="1:9" ht="21" customHeight="1">
      <c r="A40" s="7" t="s">
        <v>44</v>
      </c>
      <c r="B40" s="7" t="s">
        <v>127</v>
      </c>
      <c r="C40" s="7" t="s">
        <v>128</v>
      </c>
      <c r="D40" s="7" t="s">
        <v>61</v>
      </c>
      <c r="E40" s="9">
        <v>4998</v>
      </c>
      <c r="F40" s="9">
        <v>253</v>
      </c>
      <c r="G40" s="9">
        <v>4</v>
      </c>
      <c r="H40" s="11">
        <v>6330</v>
      </c>
      <c r="I40" s="7" t="s">
        <v>127</v>
      </c>
    </row>
    <row r="41" spans="1:9" ht="21" customHeight="1">
      <c r="A41" s="7" t="s">
        <v>44</v>
      </c>
      <c r="B41" s="7" t="s">
        <v>129</v>
      </c>
      <c r="C41" s="7" t="s">
        <v>130</v>
      </c>
      <c r="D41" s="7" t="s">
        <v>61</v>
      </c>
      <c r="E41" s="9">
        <v>1338</v>
      </c>
      <c r="F41" s="9">
        <v>53</v>
      </c>
      <c r="G41" s="9">
        <v>3</v>
      </c>
      <c r="H41" s="11">
        <v>4584.9999989999997</v>
      </c>
      <c r="I41" s="7" t="s">
        <v>129</v>
      </c>
    </row>
    <row r="42" spans="1:9" ht="21" customHeight="1">
      <c r="A42" s="7" t="s">
        <v>44</v>
      </c>
      <c r="B42" s="7" t="s">
        <v>131</v>
      </c>
      <c r="C42" s="7" t="s">
        <v>306</v>
      </c>
      <c r="D42" s="7" t="s">
        <v>61</v>
      </c>
      <c r="E42" s="9">
        <v>2188</v>
      </c>
      <c r="F42" s="9">
        <v>152</v>
      </c>
      <c r="G42" s="9">
        <v>15</v>
      </c>
      <c r="H42" s="11">
        <v>3217.500008</v>
      </c>
      <c r="I42" s="7" t="s">
        <v>131</v>
      </c>
    </row>
    <row r="43" spans="1:9" ht="21" customHeight="1">
      <c r="A43" s="7" t="s">
        <v>44</v>
      </c>
      <c r="B43" s="7" t="s">
        <v>135</v>
      </c>
      <c r="C43" s="7" t="s">
        <v>305</v>
      </c>
      <c r="D43" s="7" t="s">
        <v>61</v>
      </c>
      <c r="E43" s="9">
        <v>1180</v>
      </c>
      <c r="F43" s="9">
        <v>81</v>
      </c>
      <c r="G43" s="9">
        <v>6</v>
      </c>
      <c r="H43" s="11">
        <v>1408.0297350000001</v>
      </c>
      <c r="I43" s="7" t="s">
        <v>135</v>
      </c>
    </row>
    <row r="44" spans="1:9" ht="21" customHeight="1">
      <c r="A44" s="7" t="s">
        <v>44</v>
      </c>
      <c r="B44" s="7" t="s">
        <v>123</v>
      </c>
      <c r="C44" s="7" t="s">
        <v>124</v>
      </c>
      <c r="D44" s="7" t="s">
        <v>61</v>
      </c>
      <c r="E44" s="9">
        <v>855</v>
      </c>
      <c r="F44" s="9">
        <v>26</v>
      </c>
      <c r="G44" s="9">
        <v>0</v>
      </c>
      <c r="H44" s="11">
        <v>0</v>
      </c>
      <c r="I44" s="7" t="s">
        <v>123</v>
      </c>
    </row>
    <row r="45" spans="1:9" ht="21" customHeight="1">
      <c r="A45" s="7" t="s">
        <v>44</v>
      </c>
      <c r="B45" s="7" t="s">
        <v>133</v>
      </c>
      <c r="C45" s="7" t="s">
        <v>307</v>
      </c>
      <c r="D45" s="7" t="s">
        <v>61</v>
      </c>
      <c r="E45" s="9">
        <v>559</v>
      </c>
      <c r="F45" s="9">
        <v>8</v>
      </c>
      <c r="G45" s="9">
        <v>0</v>
      </c>
      <c r="H45" s="11">
        <v>0</v>
      </c>
      <c r="I45" s="7" t="s">
        <v>133</v>
      </c>
    </row>
    <row r="46" spans="1:9" ht="21" customHeight="1">
      <c r="A46" s="7" t="s">
        <v>45</v>
      </c>
      <c r="B46" s="7" t="s">
        <v>139</v>
      </c>
      <c r="C46" s="7" t="s">
        <v>140</v>
      </c>
      <c r="D46" s="7" t="s">
        <v>61</v>
      </c>
      <c r="E46" s="9">
        <v>14352</v>
      </c>
      <c r="F46" s="9">
        <v>810</v>
      </c>
      <c r="G46" s="9">
        <v>35</v>
      </c>
      <c r="H46" s="11">
        <v>12923.500002000001</v>
      </c>
      <c r="I46" s="7" t="s">
        <v>139</v>
      </c>
    </row>
    <row r="47" spans="1:9" ht="21" customHeight="1">
      <c r="A47" s="7" t="s">
        <v>45</v>
      </c>
      <c r="B47" s="7" t="s">
        <v>143</v>
      </c>
      <c r="C47" s="7" t="s">
        <v>144</v>
      </c>
      <c r="D47" s="7" t="s">
        <v>61</v>
      </c>
      <c r="E47" s="9">
        <v>1768</v>
      </c>
      <c r="F47" s="9">
        <v>37</v>
      </c>
      <c r="G47" s="9">
        <v>4</v>
      </c>
      <c r="H47" s="11">
        <v>986.999999</v>
      </c>
      <c r="I47" s="7" t="s">
        <v>143</v>
      </c>
    </row>
    <row r="48" spans="1:9" ht="21" customHeight="1">
      <c r="A48" s="7" t="s">
        <v>45</v>
      </c>
      <c r="B48" s="7" t="s">
        <v>147</v>
      </c>
      <c r="C48" s="7" t="s">
        <v>308</v>
      </c>
      <c r="D48" s="7" t="s">
        <v>61</v>
      </c>
      <c r="E48" s="9">
        <v>118</v>
      </c>
      <c r="F48" s="9">
        <v>0</v>
      </c>
      <c r="G48" s="9">
        <v>0</v>
      </c>
      <c r="H48" s="11">
        <v>0</v>
      </c>
      <c r="I48" s="7" t="s">
        <v>147</v>
      </c>
    </row>
    <row r="49" spans="1:9" ht="21" customHeight="1">
      <c r="A49" s="7" t="s">
        <v>45</v>
      </c>
      <c r="B49" s="7" t="s">
        <v>141</v>
      </c>
      <c r="C49" s="7" t="s">
        <v>142</v>
      </c>
      <c r="D49" s="7" t="s">
        <v>61</v>
      </c>
      <c r="E49" s="9">
        <v>1200</v>
      </c>
      <c r="F49" s="9">
        <v>31</v>
      </c>
      <c r="G49" s="9">
        <v>0</v>
      </c>
      <c r="H49" s="11">
        <v>0</v>
      </c>
      <c r="I49" s="7" t="s">
        <v>141</v>
      </c>
    </row>
    <row r="50" spans="1:9" ht="21" customHeight="1">
      <c r="A50" s="7" t="s">
        <v>45</v>
      </c>
      <c r="B50" s="7" t="s">
        <v>149</v>
      </c>
      <c r="C50" s="7" t="s">
        <v>493</v>
      </c>
      <c r="D50" s="7" t="s">
        <v>151</v>
      </c>
      <c r="E50" s="9">
        <v>15</v>
      </c>
      <c r="F50" s="9">
        <v>0</v>
      </c>
      <c r="G50" s="9">
        <v>0</v>
      </c>
      <c r="H50" s="11">
        <v>0</v>
      </c>
      <c r="I50" s="7" t="s">
        <v>152</v>
      </c>
    </row>
    <row r="51" spans="1:9" ht="21" customHeight="1">
      <c r="A51" s="7" t="s">
        <v>45</v>
      </c>
      <c r="B51" s="7" t="s">
        <v>153</v>
      </c>
      <c r="C51" s="7" t="s">
        <v>312</v>
      </c>
      <c r="D51" s="7" t="s">
        <v>61</v>
      </c>
      <c r="E51" s="9">
        <v>131</v>
      </c>
      <c r="F51" s="9">
        <v>0</v>
      </c>
      <c r="G51" s="9">
        <v>0</v>
      </c>
      <c r="H51" s="11">
        <v>0</v>
      </c>
      <c r="I51" s="7" t="s">
        <v>153</v>
      </c>
    </row>
    <row r="52" spans="1:9" ht="21" customHeight="1">
      <c r="A52" s="7" t="s">
        <v>45</v>
      </c>
      <c r="B52" s="7" t="s">
        <v>313</v>
      </c>
      <c r="C52" s="7" t="s">
        <v>314</v>
      </c>
      <c r="D52" s="7" t="s">
        <v>210</v>
      </c>
      <c r="E52" s="9">
        <v>376</v>
      </c>
      <c r="F52" s="9">
        <v>5</v>
      </c>
      <c r="G52" s="9">
        <v>0</v>
      </c>
      <c r="H52" s="11">
        <v>0</v>
      </c>
      <c r="I52" s="7" t="s">
        <v>313</v>
      </c>
    </row>
    <row r="53" spans="1:9" ht="21" customHeight="1">
      <c r="A53" s="7" t="s">
        <v>45</v>
      </c>
      <c r="B53" s="7" t="s">
        <v>137</v>
      </c>
      <c r="C53" s="7" t="s">
        <v>138</v>
      </c>
      <c r="D53" s="7" t="s">
        <v>61</v>
      </c>
      <c r="E53" s="9">
        <v>3471</v>
      </c>
      <c r="F53" s="9">
        <v>149</v>
      </c>
      <c r="G53" s="9">
        <v>0</v>
      </c>
      <c r="H53" s="11">
        <v>0</v>
      </c>
      <c r="I53" s="7" t="s">
        <v>137</v>
      </c>
    </row>
    <row r="54" spans="1:9" ht="21" customHeight="1">
      <c r="A54" s="7" t="s">
        <v>45</v>
      </c>
      <c r="B54" s="7" t="s">
        <v>145</v>
      </c>
      <c r="C54" s="7" t="s">
        <v>146</v>
      </c>
      <c r="D54" s="7" t="s">
        <v>61</v>
      </c>
      <c r="E54" s="9">
        <v>141</v>
      </c>
      <c r="F54" s="9">
        <v>4</v>
      </c>
      <c r="G54" s="9">
        <v>0</v>
      </c>
      <c r="H54" s="11">
        <v>0</v>
      </c>
      <c r="I54" s="7" t="s">
        <v>145</v>
      </c>
    </row>
    <row r="55" spans="1:9" ht="21" customHeight="1">
      <c r="A55" s="7" t="s">
        <v>45</v>
      </c>
      <c r="B55" s="7" t="s">
        <v>155</v>
      </c>
      <c r="C55" s="7" t="s">
        <v>315</v>
      </c>
      <c r="D55" s="7" t="s">
        <v>61</v>
      </c>
      <c r="E55" s="9">
        <v>720</v>
      </c>
      <c r="F55" s="9">
        <v>4</v>
      </c>
      <c r="G55" s="9">
        <v>0</v>
      </c>
      <c r="H55" s="11">
        <v>0</v>
      </c>
      <c r="I55" s="7" t="s">
        <v>155</v>
      </c>
    </row>
    <row r="56" spans="1:9" ht="21" customHeight="1">
      <c r="A56" s="7" t="s">
        <v>45</v>
      </c>
      <c r="B56" s="7" t="s">
        <v>157</v>
      </c>
      <c r="C56" s="7" t="s">
        <v>440</v>
      </c>
      <c r="D56" s="7" t="s">
        <v>61</v>
      </c>
      <c r="E56" s="9">
        <v>75</v>
      </c>
      <c r="F56" s="9">
        <v>0</v>
      </c>
      <c r="G56" s="9">
        <v>0</v>
      </c>
      <c r="H56" s="11">
        <v>0</v>
      </c>
      <c r="I56" s="7" t="s">
        <v>157</v>
      </c>
    </row>
    <row r="57" spans="1:9" ht="21" customHeight="1">
      <c r="A57" s="7" t="s">
        <v>45</v>
      </c>
      <c r="B57" s="7" t="s">
        <v>441</v>
      </c>
      <c r="C57" s="7" t="s">
        <v>442</v>
      </c>
      <c r="D57" s="7" t="s">
        <v>61</v>
      </c>
      <c r="E57" s="9">
        <v>824</v>
      </c>
      <c r="F57" s="9">
        <v>37</v>
      </c>
      <c r="G57" s="9">
        <v>0</v>
      </c>
      <c r="H57" s="11">
        <v>0</v>
      </c>
      <c r="I57" s="7" t="s">
        <v>441</v>
      </c>
    </row>
    <row r="58" spans="1:9" ht="21" customHeight="1">
      <c r="A58" s="7" t="s">
        <v>45</v>
      </c>
      <c r="B58" s="7" t="s">
        <v>159</v>
      </c>
      <c r="C58" s="7" t="s">
        <v>316</v>
      </c>
      <c r="D58" s="7" t="s">
        <v>61</v>
      </c>
      <c r="E58" s="9">
        <v>107</v>
      </c>
      <c r="F58" s="9">
        <v>1</v>
      </c>
      <c r="G58" s="9">
        <v>0</v>
      </c>
      <c r="H58" s="11">
        <v>0</v>
      </c>
      <c r="I58" s="7" t="s">
        <v>159</v>
      </c>
    </row>
    <row r="59" spans="1:9" ht="21" customHeight="1">
      <c r="A59" s="7" t="s">
        <v>45</v>
      </c>
      <c r="B59" s="7" t="s">
        <v>160</v>
      </c>
      <c r="C59" s="7" t="s">
        <v>443</v>
      </c>
      <c r="D59" s="7" t="s">
        <v>61</v>
      </c>
      <c r="E59" s="9">
        <v>65</v>
      </c>
      <c r="F59" s="9">
        <v>0</v>
      </c>
      <c r="G59" s="9">
        <v>0</v>
      </c>
      <c r="H59" s="11">
        <v>0</v>
      </c>
      <c r="I59" s="7" t="s">
        <v>160</v>
      </c>
    </row>
    <row r="60" spans="1:9" ht="21" customHeight="1">
      <c r="A60" s="7" t="s">
        <v>45</v>
      </c>
      <c r="B60" s="7" t="s">
        <v>162</v>
      </c>
      <c r="C60" s="7" t="s">
        <v>309</v>
      </c>
      <c r="D60" s="7" t="s">
        <v>61</v>
      </c>
      <c r="E60" s="9">
        <v>99</v>
      </c>
      <c r="F60" s="9">
        <v>2</v>
      </c>
      <c r="G60" s="9">
        <v>0</v>
      </c>
      <c r="H60" s="11">
        <v>0</v>
      </c>
      <c r="I60" s="7" t="s">
        <v>162</v>
      </c>
    </row>
    <row r="61" spans="1:9" ht="21" customHeight="1">
      <c r="A61" s="7" t="s">
        <v>45</v>
      </c>
      <c r="B61" s="7" t="s">
        <v>164</v>
      </c>
      <c r="C61" s="7" t="s">
        <v>519</v>
      </c>
      <c r="D61" s="7" t="s">
        <v>61</v>
      </c>
      <c r="E61" s="9">
        <v>26</v>
      </c>
      <c r="F61" s="9">
        <v>0</v>
      </c>
      <c r="G61" s="9">
        <v>0</v>
      </c>
      <c r="H61" s="11">
        <v>0</v>
      </c>
      <c r="I61" s="7" t="s">
        <v>164</v>
      </c>
    </row>
    <row r="62" spans="1:9" ht="21" customHeight="1">
      <c r="A62" s="7" t="s">
        <v>45</v>
      </c>
      <c r="B62" s="7" t="s">
        <v>166</v>
      </c>
      <c r="C62" s="7" t="s">
        <v>318</v>
      </c>
      <c r="D62" s="7" t="s">
        <v>61</v>
      </c>
      <c r="E62" s="9">
        <v>93</v>
      </c>
      <c r="F62" s="9">
        <v>0</v>
      </c>
      <c r="G62" s="9">
        <v>0</v>
      </c>
      <c r="H62" s="11">
        <v>0</v>
      </c>
      <c r="I62" s="7" t="s">
        <v>166</v>
      </c>
    </row>
    <row r="63" spans="1:9" ht="21" customHeight="1">
      <c r="A63" s="7" t="s">
        <v>45</v>
      </c>
      <c r="B63" s="7" t="s">
        <v>168</v>
      </c>
      <c r="C63" s="7" t="s">
        <v>494</v>
      </c>
      <c r="D63" s="7" t="s">
        <v>61</v>
      </c>
      <c r="E63" s="9">
        <v>69</v>
      </c>
      <c r="F63" s="9">
        <v>2</v>
      </c>
      <c r="G63" s="9">
        <v>0</v>
      </c>
      <c r="H63" s="11">
        <v>0</v>
      </c>
      <c r="I63" s="7" t="s">
        <v>169</v>
      </c>
    </row>
    <row r="64" spans="1:9" ht="21" customHeight="1">
      <c r="A64" s="7" t="s">
        <v>46</v>
      </c>
      <c r="B64" s="7" t="s">
        <v>171</v>
      </c>
      <c r="C64" s="7" t="s">
        <v>172</v>
      </c>
      <c r="D64" s="7" t="s">
        <v>61</v>
      </c>
      <c r="E64" s="9">
        <v>10120</v>
      </c>
      <c r="F64" s="9">
        <v>172</v>
      </c>
      <c r="G64" s="9">
        <v>13</v>
      </c>
      <c r="H64" s="11">
        <v>14809.999997999999</v>
      </c>
      <c r="I64" s="7" t="s">
        <v>171</v>
      </c>
    </row>
    <row r="65" spans="1:9" ht="21" customHeight="1">
      <c r="A65" s="7" t="s">
        <v>46</v>
      </c>
      <c r="B65" s="7" t="s">
        <v>175</v>
      </c>
      <c r="C65" s="7" t="s">
        <v>176</v>
      </c>
      <c r="D65" s="7" t="s">
        <v>61</v>
      </c>
      <c r="E65" s="9">
        <v>4126</v>
      </c>
      <c r="F65" s="9">
        <v>67</v>
      </c>
      <c r="G65" s="9">
        <v>4</v>
      </c>
      <c r="H65" s="11">
        <v>1853.2462439999999</v>
      </c>
      <c r="I65" s="7" t="s">
        <v>175</v>
      </c>
    </row>
    <row r="66" spans="1:9" ht="21" customHeight="1">
      <c r="A66" s="7" t="s">
        <v>46</v>
      </c>
      <c r="B66" s="7" t="s">
        <v>177</v>
      </c>
      <c r="C66" s="7" t="s">
        <v>178</v>
      </c>
      <c r="D66" s="7" t="s">
        <v>61</v>
      </c>
      <c r="E66" s="9">
        <v>493</v>
      </c>
      <c r="F66" s="9">
        <v>16</v>
      </c>
      <c r="G66" s="9">
        <v>0</v>
      </c>
      <c r="H66" s="11">
        <v>0</v>
      </c>
      <c r="I66" s="7" t="s">
        <v>177</v>
      </c>
    </row>
    <row r="67" spans="1:9" ht="21" customHeight="1">
      <c r="A67" s="7" t="s">
        <v>46</v>
      </c>
      <c r="B67" s="7" t="s">
        <v>320</v>
      </c>
      <c r="C67" s="7" t="s">
        <v>321</v>
      </c>
      <c r="D67" s="7" t="s">
        <v>61</v>
      </c>
      <c r="E67" s="9">
        <v>387</v>
      </c>
      <c r="F67" s="9">
        <v>11</v>
      </c>
      <c r="G67" s="9">
        <v>0</v>
      </c>
      <c r="H67" s="11">
        <v>0</v>
      </c>
      <c r="I67" s="7" t="s">
        <v>320</v>
      </c>
    </row>
    <row r="68" spans="1:9" ht="21" customHeight="1">
      <c r="A68" s="7" t="s">
        <v>46</v>
      </c>
      <c r="B68" s="7" t="s">
        <v>173</v>
      </c>
      <c r="C68" s="7" t="s">
        <v>445</v>
      </c>
      <c r="D68" s="7" t="s">
        <v>61</v>
      </c>
      <c r="E68" s="9">
        <v>1043</v>
      </c>
      <c r="F68" s="9">
        <v>8</v>
      </c>
      <c r="G68" s="9">
        <v>0</v>
      </c>
      <c r="H68" s="11">
        <v>0</v>
      </c>
      <c r="I68" s="7" t="s">
        <v>173</v>
      </c>
    </row>
    <row r="69" spans="1:9" ht="21" customHeight="1">
      <c r="A69" s="7" t="s">
        <v>47</v>
      </c>
      <c r="B69" s="7" t="s">
        <v>182</v>
      </c>
      <c r="C69" s="7" t="s">
        <v>446</v>
      </c>
      <c r="D69" s="7" t="s">
        <v>181</v>
      </c>
      <c r="E69" s="9">
        <v>1319</v>
      </c>
      <c r="F69" s="9">
        <v>38</v>
      </c>
      <c r="G69" s="9">
        <v>2</v>
      </c>
      <c r="H69" s="11">
        <v>1617.5</v>
      </c>
      <c r="I69" s="7" t="s">
        <v>182</v>
      </c>
    </row>
    <row r="70" spans="1:9" ht="21" customHeight="1">
      <c r="A70" s="7" t="s">
        <v>47</v>
      </c>
      <c r="B70" s="7" t="s">
        <v>200</v>
      </c>
      <c r="C70" s="7" t="s">
        <v>454</v>
      </c>
      <c r="D70" s="7" t="s">
        <v>181</v>
      </c>
      <c r="E70" s="9">
        <v>619</v>
      </c>
      <c r="F70" s="9">
        <v>36</v>
      </c>
      <c r="G70" s="9">
        <v>3</v>
      </c>
      <c r="H70" s="11">
        <v>1020.494832</v>
      </c>
      <c r="I70" s="7" t="s">
        <v>200</v>
      </c>
    </row>
    <row r="71" spans="1:9" ht="21" customHeight="1">
      <c r="A71" s="7" t="s">
        <v>47</v>
      </c>
      <c r="B71" s="7" t="s">
        <v>450</v>
      </c>
      <c r="C71" s="7" t="s">
        <v>451</v>
      </c>
      <c r="D71" s="7" t="s">
        <v>181</v>
      </c>
      <c r="E71" s="9">
        <v>774</v>
      </c>
      <c r="F71" s="9">
        <v>18</v>
      </c>
      <c r="G71" s="9">
        <v>2</v>
      </c>
      <c r="H71" s="11">
        <v>994.99999700000001</v>
      </c>
      <c r="I71" s="7" t="s">
        <v>450</v>
      </c>
    </row>
    <row r="72" spans="1:9" ht="21" customHeight="1">
      <c r="A72" s="7" t="s">
        <v>47</v>
      </c>
      <c r="B72" s="7" t="s">
        <v>184</v>
      </c>
      <c r="C72" s="7" t="s">
        <v>495</v>
      </c>
      <c r="D72" s="7" t="s">
        <v>181</v>
      </c>
      <c r="E72" s="9">
        <v>981</v>
      </c>
      <c r="F72" s="9">
        <v>30</v>
      </c>
      <c r="G72" s="9">
        <v>1</v>
      </c>
      <c r="H72" s="11">
        <v>580</v>
      </c>
      <c r="I72" s="7" t="s">
        <v>184</v>
      </c>
    </row>
    <row r="73" spans="1:9" ht="21" customHeight="1">
      <c r="A73" s="7" t="s">
        <v>47</v>
      </c>
      <c r="B73" s="7" t="s">
        <v>194</v>
      </c>
      <c r="C73" s="7" t="s">
        <v>331</v>
      </c>
      <c r="D73" s="7" t="s">
        <v>181</v>
      </c>
      <c r="E73" s="9">
        <v>960</v>
      </c>
      <c r="F73" s="9">
        <v>26</v>
      </c>
      <c r="G73" s="9">
        <v>1</v>
      </c>
      <c r="H73" s="11">
        <v>544.999999</v>
      </c>
      <c r="I73" s="7" t="s">
        <v>194</v>
      </c>
    </row>
    <row r="74" spans="1:9" ht="21" customHeight="1">
      <c r="A74" s="7" t="s">
        <v>47</v>
      </c>
      <c r="B74" s="7" t="s">
        <v>186</v>
      </c>
      <c r="C74" s="7" t="s">
        <v>333</v>
      </c>
      <c r="D74" s="7" t="s">
        <v>181</v>
      </c>
      <c r="E74" s="9">
        <v>1379</v>
      </c>
      <c r="F74" s="9">
        <v>18</v>
      </c>
      <c r="G74" s="9">
        <v>1</v>
      </c>
      <c r="H74" s="11">
        <v>294.999999</v>
      </c>
      <c r="I74" s="7" t="s">
        <v>186</v>
      </c>
    </row>
    <row r="75" spans="1:9" ht="21" customHeight="1">
      <c r="A75" s="7" t="s">
        <v>47</v>
      </c>
      <c r="B75" s="7" t="s">
        <v>204</v>
      </c>
      <c r="C75" s="7" t="s">
        <v>455</v>
      </c>
      <c r="D75" s="7" t="s">
        <v>181</v>
      </c>
      <c r="E75" s="9">
        <v>670</v>
      </c>
      <c r="F75" s="9">
        <v>16</v>
      </c>
      <c r="G75" s="9">
        <v>1</v>
      </c>
      <c r="H75" s="11">
        <v>244.999999</v>
      </c>
      <c r="I75" s="7" t="s">
        <v>204</v>
      </c>
    </row>
    <row r="76" spans="1:9" ht="21" customHeight="1">
      <c r="A76" s="7" t="s">
        <v>47</v>
      </c>
      <c r="B76" s="7" t="s">
        <v>447</v>
      </c>
      <c r="C76" s="7" t="s">
        <v>448</v>
      </c>
      <c r="D76" s="7" t="s">
        <v>181</v>
      </c>
      <c r="E76" s="9">
        <v>76</v>
      </c>
      <c r="F76" s="9">
        <v>1</v>
      </c>
      <c r="G76" s="9">
        <v>0</v>
      </c>
      <c r="H76" s="11">
        <v>0</v>
      </c>
      <c r="I76" s="7" t="s">
        <v>447</v>
      </c>
    </row>
    <row r="77" spans="1:9" ht="21" customHeight="1">
      <c r="A77" s="7" t="s">
        <v>47</v>
      </c>
      <c r="B77" s="7" t="s">
        <v>179</v>
      </c>
      <c r="C77" s="7" t="s">
        <v>520</v>
      </c>
      <c r="D77" s="7" t="s">
        <v>181</v>
      </c>
      <c r="E77" s="9">
        <v>780</v>
      </c>
      <c r="F77" s="9">
        <v>50</v>
      </c>
      <c r="G77" s="9">
        <v>0</v>
      </c>
      <c r="H77" s="11">
        <v>0</v>
      </c>
      <c r="I77" s="7" t="s">
        <v>179</v>
      </c>
    </row>
    <row r="78" spans="1:9" ht="21" customHeight="1">
      <c r="A78" s="7" t="s">
        <v>47</v>
      </c>
      <c r="B78" s="7" t="s">
        <v>190</v>
      </c>
      <c r="C78" s="7" t="s">
        <v>330</v>
      </c>
      <c r="D78" s="7" t="s">
        <v>181</v>
      </c>
      <c r="E78" s="9">
        <v>402</v>
      </c>
      <c r="F78" s="9">
        <v>14</v>
      </c>
      <c r="G78" s="9">
        <v>0</v>
      </c>
      <c r="H78" s="11">
        <v>0</v>
      </c>
      <c r="I78" s="7" t="s">
        <v>190</v>
      </c>
    </row>
    <row r="79" spans="1:9" ht="21" customHeight="1">
      <c r="A79" s="7" t="s">
        <v>47</v>
      </c>
      <c r="B79" s="7" t="s">
        <v>192</v>
      </c>
      <c r="C79" s="7" t="s">
        <v>449</v>
      </c>
      <c r="D79" s="7" t="s">
        <v>181</v>
      </c>
      <c r="E79" s="9">
        <v>507</v>
      </c>
      <c r="F79" s="9">
        <v>16</v>
      </c>
      <c r="G79" s="9">
        <v>0</v>
      </c>
      <c r="H79" s="11">
        <v>0</v>
      </c>
      <c r="I79" s="7" t="s">
        <v>192</v>
      </c>
    </row>
    <row r="80" spans="1:9" ht="21" customHeight="1">
      <c r="A80" s="7" t="s">
        <v>47</v>
      </c>
      <c r="B80" s="7" t="s">
        <v>521</v>
      </c>
      <c r="C80" s="7" t="s">
        <v>522</v>
      </c>
      <c r="D80" s="7" t="s">
        <v>181</v>
      </c>
      <c r="E80" s="9">
        <v>68</v>
      </c>
      <c r="F80" s="9">
        <v>0</v>
      </c>
      <c r="G80" s="9">
        <v>0</v>
      </c>
      <c r="H80" s="11">
        <v>0</v>
      </c>
      <c r="I80" s="7" t="s">
        <v>521</v>
      </c>
    </row>
    <row r="81" spans="1:9" ht="21" customHeight="1">
      <c r="A81" s="7" t="s">
        <v>47</v>
      </c>
      <c r="B81" s="7" t="s">
        <v>498</v>
      </c>
      <c r="C81" s="7" t="s">
        <v>523</v>
      </c>
      <c r="D81" s="7" t="s">
        <v>181</v>
      </c>
      <c r="E81" s="9">
        <v>259</v>
      </c>
      <c r="F81" s="9">
        <v>7</v>
      </c>
      <c r="G81" s="9">
        <v>0</v>
      </c>
      <c r="H81" s="11">
        <v>0</v>
      </c>
      <c r="I81" s="7" t="s">
        <v>498</v>
      </c>
    </row>
    <row r="82" spans="1:9" ht="21" customHeight="1">
      <c r="A82" s="7" t="s">
        <v>47</v>
      </c>
      <c r="B82" s="7" t="s">
        <v>196</v>
      </c>
      <c r="C82" s="7" t="s">
        <v>323</v>
      </c>
      <c r="D82" s="7" t="s">
        <v>181</v>
      </c>
      <c r="E82" s="9">
        <v>857</v>
      </c>
      <c r="F82" s="9">
        <v>19</v>
      </c>
      <c r="G82" s="9">
        <v>0</v>
      </c>
      <c r="H82" s="11">
        <v>0</v>
      </c>
      <c r="I82" s="7" t="s">
        <v>196</v>
      </c>
    </row>
    <row r="83" spans="1:9" ht="21" customHeight="1">
      <c r="A83" s="7" t="s">
        <v>47</v>
      </c>
      <c r="B83" s="7" t="s">
        <v>198</v>
      </c>
      <c r="C83" s="7" t="s">
        <v>496</v>
      </c>
      <c r="D83" s="7" t="s">
        <v>181</v>
      </c>
      <c r="E83" s="9">
        <v>1611</v>
      </c>
      <c r="F83" s="9">
        <v>38</v>
      </c>
      <c r="G83" s="9">
        <v>0</v>
      </c>
      <c r="H83" s="11">
        <v>0</v>
      </c>
      <c r="I83" s="7" t="s">
        <v>198</v>
      </c>
    </row>
    <row r="84" spans="1:9" ht="21" customHeight="1">
      <c r="A84" s="7" t="s">
        <v>47</v>
      </c>
      <c r="B84" s="7" t="s">
        <v>452</v>
      </c>
      <c r="C84" s="7" t="s">
        <v>453</v>
      </c>
      <c r="D84" s="7" t="s">
        <v>181</v>
      </c>
      <c r="E84" s="9">
        <v>170</v>
      </c>
      <c r="F84" s="9">
        <v>0</v>
      </c>
      <c r="G84" s="9">
        <v>0</v>
      </c>
      <c r="H84" s="11">
        <v>0</v>
      </c>
      <c r="I84" s="7" t="s">
        <v>452</v>
      </c>
    </row>
    <row r="85" spans="1:9" ht="21" customHeight="1">
      <c r="A85" s="7" t="s">
        <v>47</v>
      </c>
      <c r="B85" s="7" t="s">
        <v>202</v>
      </c>
      <c r="C85" s="7" t="s">
        <v>326</v>
      </c>
      <c r="D85" s="7" t="s">
        <v>181</v>
      </c>
      <c r="E85" s="9">
        <v>922</v>
      </c>
      <c r="F85" s="9">
        <v>19</v>
      </c>
      <c r="G85" s="9">
        <v>0</v>
      </c>
      <c r="H85" s="11">
        <v>0</v>
      </c>
      <c r="I85" s="7" t="s">
        <v>202</v>
      </c>
    </row>
    <row r="86" spans="1:9" ht="21" customHeight="1">
      <c r="A86" s="7" t="s">
        <v>47</v>
      </c>
      <c r="B86" s="7" t="s">
        <v>188</v>
      </c>
      <c r="C86" s="7" t="s">
        <v>189</v>
      </c>
      <c r="D86" s="7" t="s">
        <v>181</v>
      </c>
      <c r="E86" s="9">
        <v>804</v>
      </c>
      <c r="F86" s="9">
        <v>34</v>
      </c>
      <c r="G86" s="9">
        <v>0</v>
      </c>
      <c r="H86" s="11">
        <v>0</v>
      </c>
      <c r="I86" s="7" t="s">
        <v>188</v>
      </c>
    </row>
    <row r="87" spans="1:9" ht="21" customHeight="1">
      <c r="A87" s="7" t="s">
        <v>47</v>
      </c>
      <c r="B87" s="7" t="s">
        <v>206</v>
      </c>
      <c r="C87" s="7" t="s">
        <v>334</v>
      </c>
      <c r="D87" s="7" t="s">
        <v>181</v>
      </c>
      <c r="E87" s="9">
        <v>781</v>
      </c>
      <c r="F87" s="9">
        <v>3</v>
      </c>
      <c r="G87" s="9">
        <v>0</v>
      </c>
      <c r="H87" s="11">
        <v>0</v>
      </c>
      <c r="I87" s="7" t="s">
        <v>206</v>
      </c>
    </row>
    <row r="88" spans="1:9" ht="21" customHeight="1">
      <c r="A88" s="7" t="s">
        <v>48</v>
      </c>
      <c r="B88" s="7" t="s">
        <v>230</v>
      </c>
      <c r="C88" s="7" t="s">
        <v>500</v>
      </c>
      <c r="D88" s="7" t="s">
        <v>61</v>
      </c>
      <c r="E88" s="9">
        <v>944</v>
      </c>
      <c r="F88" s="9">
        <v>15</v>
      </c>
      <c r="G88" s="9">
        <v>2</v>
      </c>
      <c r="H88" s="11">
        <v>12400</v>
      </c>
      <c r="I88" s="7" t="s">
        <v>230</v>
      </c>
    </row>
    <row r="89" spans="1:9" ht="21" customHeight="1">
      <c r="A89" s="7" t="s">
        <v>48</v>
      </c>
      <c r="B89" s="7" t="s">
        <v>208</v>
      </c>
      <c r="C89" s="7" t="s">
        <v>457</v>
      </c>
      <c r="D89" s="7" t="s">
        <v>210</v>
      </c>
      <c r="E89" s="9">
        <v>192</v>
      </c>
      <c r="F89" s="9">
        <v>3</v>
      </c>
      <c r="G89" s="9">
        <v>0</v>
      </c>
      <c r="H89" s="11">
        <v>0</v>
      </c>
      <c r="I89" s="7" t="s">
        <v>208</v>
      </c>
    </row>
    <row r="90" spans="1:9" ht="21" customHeight="1">
      <c r="A90" s="7" t="s">
        <v>48</v>
      </c>
      <c r="B90" s="7" t="s">
        <v>211</v>
      </c>
      <c r="C90" s="7" t="s">
        <v>458</v>
      </c>
      <c r="D90" s="7" t="s">
        <v>213</v>
      </c>
      <c r="E90" s="9">
        <v>41</v>
      </c>
      <c r="F90" s="9">
        <v>0</v>
      </c>
      <c r="G90" s="9">
        <v>0</v>
      </c>
      <c r="H90" s="11">
        <v>0</v>
      </c>
      <c r="I90" s="7" t="s">
        <v>211</v>
      </c>
    </row>
    <row r="91" spans="1:9" ht="21" customHeight="1">
      <c r="A91" s="7" t="s">
        <v>48</v>
      </c>
      <c r="B91" s="7" t="s">
        <v>214</v>
      </c>
      <c r="C91" s="7" t="s">
        <v>524</v>
      </c>
      <c r="D91" s="7" t="s">
        <v>213</v>
      </c>
      <c r="E91" s="9">
        <v>7</v>
      </c>
      <c r="F91" s="9">
        <v>0</v>
      </c>
      <c r="G91" s="9">
        <v>0</v>
      </c>
      <c r="H91" s="11">
        <v>0</v>
      </c>
      <c r="I91" s="7" t="s">
        <v>214</v>
      </c>
    </row>
    <row r="92" spans="1:9" ht="21" customHeight="1">
      <c r="A92" s="7" t="s">
        <v>48</v>
      </c>
      <c r="B92" s="7" t="s">
        <v>216</v>
      </c>
      <c r="C92" s="7" t="s">
        <v>501</v>
      </c>
      <c r="D92" s="7" t="s">
        <v>61</v>
      </c>
      <c r="E92" s="9">
        <v>121</v>
      </c>
      <c r="F92" s="9">
        <v>0</v>
      </c>
      <c r="G92" s="9">
        <v>0</v>
      </c>
      <c r="H92" s="11">
        <v>0</v>
      </c>
      <c r="I92" s="7" t="s">
        <v>216</v>
      </c>
    </row>
    <row r="93" spans="1:9" ht="21" customHeight="1">
      <c r="A93" s="7" t="s">
        <v>48</v>
      </c>
      <c r="B93" s="7" t="s">
        <v>218</v>
      </c>
      <c r="C93" s="7" t="s">
        <v>525</v>
      </c>
      <c r="D93" s="7" t="s">
        <v>213</v>
      </c>
      <c r="E93" s="9">
        <v>9</v>
      </c>
      <c r="F93" s="9">
        <v>0</v>
      </c>
      <c r="G93" s="9">
        <v>0</v>
      </c>
      <c r="H93" s="11">
        <v>0</v>
      </c>
      <c r="I93" s="7" t="s">
        <v>218</v>
      </c>
    </row>
    <row r="94" spans="1:9" ht="21" customHeight="1">
      <c r="A94" s="7" t="s">
        <v>48</v>
      </c>
      <c r="B94" s="7" t="s">
        <v>220</v>
      </c>
      <c r="C94" s="7" t="s">
        <v>461</v>
      </c>
      <c r="D94" s="7" t="s">
        <v>210</v>
      </c>
      <c r="E94" s="9">
        <v>63</v>
      </c>
      <c r="F94" s="9">
        <v>3</v>
      </c>
      <c r="G94" s="9">
        <v>0</v>
      </c>
      <c r="H94" s="11">
        <v>0</v>
      </c>
      <c r="I94" s="7" t="s">
        <v>220</v>
      </c>
    </row>
    <row r="95" spans="1:9" ht="21" customHeight="1">
      <c r="A95" s="7" t="s">
        <v>48</v>
      </c>
      <c r="B95" s="7" t="s">
        <v>222</v>
      </c>
      <c r="C95" s="7" t="s">
        <v>462</v>
      </c>
      <c r="D95" s="7" t="s">
        <v>210</v>
      </c>
      <c r="E95" s="9">
        <v>185</v>
      </c>
      <c r="F95" s="9">
        <v>2</v>
      </c>
      <c r="G95" s="9">
        <v>0</v>
      </c>
      <c r="H95" s="11">
        <v>0</v>
      </c>
      <c r="I95" s="7" t="s">
        <v>222</v>
      </c>
    </row>
    <row r="96" spans="1:9" ht="21" customHeight="1">
      <c r="A96" s="7" t="s">
        <v>48</v>
      </c>
      <c r="B96" s="7" t="s">
        <v>224</v>
      </c>
      <c r="C96" s="7" t="s">
        <v>503</v>
      </c>
      <c r="D96" s="7" t="s">
        <v>213</v>
      </c>
      <c r="E96" s="9">
        <v>2</v>
      </c>
      <c r="F96" s="9">
        <v>0</v>
      </c>
      <c r="G96" s="9">
        <v>0</v>
      </c>
      <c r="H96" s="11">
        <v>0</v>
      </c>
      <c r="I96" s="7" t="s">
        <v>224</v>
      </c>
    </row>
    <row r="97" spans="1:9" ht="21" customHeight="1">
      <c r="A97" s="7" t="s">
        <v>48</v>
      </c>
      <c r="B97" s="7" t="s">
        <v>226</v>
      </c>
      <c r="C97" s="7" t="s">
        <v>463</v>
      </c>
      <c r="D97" s="7" t="s">
        <v>210</v>
      </c>
      <c r="E97" s="9">
        <v>192</v>
      </c>
      <c r="F97" s="9">
        <v>2</v>
      </c>
      <c r="G97" s="9">
        <v>0</v>
      </c>
      <c r="H97" s="11">
        <v>0</v>
      </c>
      <c r="I97" s="7" t="s">
        <v>226</v>
      </c>
    </row>
    <row r="98" spans="1:9" ht="21" customHeight="1">
      <c r="A98" s="7" t="s">
        <v>48</v>
      </c>
      <c r="B98" s="7" t="s">
        <v>228</v>
      </c>
      <c r="C98" s="7" t="s">
        <v>464</v>
      </c>
      <c r="D98" s="7" t="s">
        <v>210</v>
      </c>
      <c r="E98" s="9">
        <v>145</v>
      </c>
      <c r="F98" s="9">
        <v>6</v>
      </c>
      <c r="G98" s="9">
        <v>0</v>
      </c>
      <c r="H98" s="11">
        <v>0</v>
      </c>
      <c r="I98" s="7" t="s">
        <v>228</v>
      </c>
    </row>
    <row r="99" spans="1:9" ht="21" customHeight="1">
      <c r="A99" s="7" t="s">
        <v>48</v>
      </c>
      <c r="B99" s="7" t="s">
        <v>504</v>
      </c>
      <c r="C99" s="7" t="s">
        <v>526</v>
      </c>
      <c r="D99" s="7" t="s">
        <v>213</v>
      </c>
      <c r="E99" s="9">
        <v>12</v>
      </c>
      <c r="F99" s="9">
        <v>0</v>
      </c>
      <c r="G99" s="9">
        <v>0</v>
      </c>
      <c r="H99" s="11">
        <v>0</v>
      </c>
      <c r="I99" s="7" t="s">
        <v>504</v>
      </c>
    </row>
    <row r="100" spans="1:9" ht="21" customHeight="1">
      <c r="A100" s="7" t="s">
        <v>48</v>
      </c>
      <c r="B100" s="7" t="s">
        <v>346</v>
      </c>
      <c r="C100" s="7" t="s">
        <v>527</v>
      </c>
      <c r="D100" s="7" t="s">
        <v>213</v>
      </c>
      <c r="E100" s="9">
        <v>5</v>
      </c>
      <c r="F100" s="9">
        <v>0</v>
      </c>
      <c r="G100" s="9">
        <v>0</v>
      </c>
      <c r="H100" s="11">
        <v>0</v>
      </c>
      <c r="I100" s="7" t="s">
        <v>346</v>
      </c>
    </row>
    <row r="101" spans="1:9" ht="21" customHeight="1">
      <c r="A101" s="7" t="s">
        <v>48</v>
      </c>
      <c r="B101" s="7" t="s">
        <v>232</v>
      </c>
      <c r="C101" s="7" t="s">
        <v>465</v>
      </c>
      <c r="D101" s="7" t="s">
        <v>61</v>
      </c>
      <c r="E101" s="9">
        <v>1263</v>
      </c>
      <c r="F101" s="9">
        <v>13</v>
      </c>
      <c r="G101" s="9">
        <v>0</v>
      </c>
      <c r="H101" s="11">
        <v>0</v>
      </c>
      <c r="I101" s="7" t="s">
        <v>232</v>
      </c>
    </row>
    <row r="102" spans="1:9" ht="21" customHeight="1">
      <c r="A102" s="7" t="s">
        <v>48</v>
      </c>
      <c r="B102" s="7" t="s">
        <v>234</v>
      </c>
      <c r="C102" s="7" t="s">
        <v>507</v>
      </c>
      <c r="D102" s="7" t="s">
        <v>61</v>
      </c>
      <c r="E102" s="9">
        <v>14</v>
      </c>
      <c r="F102" s="9">
        <v>0</v>
      </c>
      <c r="G102" s="9">
        <v>0</v>
      </c>
      <c r="H102" s="11">
        <v>0</v>
      </c>
      <c r="I102" s="7" t="s">
        <v>234</v>
      </c>
    </row>
    <row r="103" spans="1:9" ht="21" customHeight="1">
      <c r="A103" s="7" t="s">
        <v>48</v>
      </c>
      <c r="B103" s="7" t="s">
        <v>236</v>
      </c>
      <c r="C103" s="7" t="s">
        <v>467</v>
      </c>
      <c r="D103" s="7" t="s">
        <v>213</v>
      </c>
      <c r="E103" s="9">
        <v>4</v>
      </c>
      <c r="F103" s="9">
        <v>0</v>
      </c>
      <c r="G103" s="9">
        <v>0</v>
      </c>
      <c r="H103" s="11">
        <v>0</v>
      </c>
      <c r="I103" s="7" t="s">
        <v>236</v>
      </c>
    </row>
    <row r="104" spans="1:9" ht="21" customHeight="1">
      <c r="A104" s="7" t="s">
        <v>48</v>
      </c>
      <c r="B104" s="7" t="s">
        <v>238</v>
      </c>
      <c r="C104" s="7" t="s">
        <v>468</v>
      </c>
      <c r="D104" s="7" t="s">
        <v>61</v>
      </c>
      <c r="E104" s="9">
        <v>333</v>
      </c>
      <c r="F104" s="9">
        <v>2</v>
      </c>
      <c r="G104" s="9">
        <v>0</v>
      </c>
      <c r="H104" s="11">
        <v>0</v>
      </c>
      <c r="I104" s="7" t="s">
        <v>238</v>
      </c>
    </row>
    <row r="105" spans="1:9" ht="21" customHeight="1">
      <c r="A105" s="7" t="s">
        <v>49</v>
      </c>
      <c r="B105" s="7" t="s">
        <v>243</v>
      </c>
      <c r="C105" s="7" t="s">
        <v>528</v>
      </c>
      <c r="D105" s="7" t="s">
        <v>242</v>
      </c>
      <c r="E105" s="9">
        <v>3</v>
      </c>
      <c r="F105" s="9">
        <v>0</v>
      </c>
      <c r="G105" s="9">
        <v>0</v>
      </c>
      <c r="H105" s="11">
        <v>0</v>
      </c>
      <c r="I105" s="7" t="s">
        <v>243</v>
      </c>
    </row>
    <row r="106" spans="1:9" ht="21" customHeight="1">
      <c r="A106" s="7" t="s">
        <v>49</v>
      </c>
      <c r="B106" s="7" t="s">
        <v>247</v>
      </c>
      <c r="C106" s="7" t="s">
        <v>470</v>
      </c>
      <c r="D106" s="7" t="s">
        <v>61</v>
      </c>
      <c r="E106" s="9">
        <v>6</v>
      </c>
      <c r="F106" s="9">
        <v>0</v>
      </c>
      <c r="G106" s="9">
        <v>0</v>
      </c>
      <c r="H106" s="11">
        <v>0</v>
      </c>
      <c r="I106" s="7" t="s">
        <v>247</v>
      </c>
    </row>
    <row r="107" spans="1:9" ht="21" customHeight="1">
      <c r="A107" s="7" t="s">
        <v>50</v>
      </c>
      <c r="B107" s="7" t="s">
        <v>255</v>
      </c>
      <c r="C107" s="7" t="s">
        <v>529</v>
      </c>
      <c r="D107" s="7" t="s">
        <v>250</v>
      </c>
      <c r="E107" s="9">
        <v>15</v>
      </c>
      <c r="F107" s="9">
        <v>0</v>
      </c>
      <c r="G107" s="9">
        <v>14</v>
      </c>
      <c r="H107" s="11">
        <v>0.19999800000000001</v>
      </c>
      <c r="I107" s="7" t="s">
        <v>255</v>
      </c>
    </row>
    <row r="108" spans="1:9" ht="21" customHeight="1">
      <c r="A108" s="7" t="s">
        <v>50</v>
      </c>
      <c r="B108" s="7" t="s">
        <v>251</v>
      </c>
      <c r="C108" s="7" t="s">
        <v>252</v>
      </c>
      <c r="D108" s="7" t="s">
        <v>250</v>
      </c>
      <c r="E108" s="9">
        <v>4</v>
      </c>
      <c r="F108" s="9">
        <v>0</v>
      </c>
      <c r="G108" s="9">
        <v>7</v>
      </c>
      <c r="H108" s="11">
        <v>0</v>
      </c>
      <c r="I108" s="7" t="s">
        <v>251</v>
      </c>
    </row>
    <row r="109" spans="1:9" ht="21" customHeight="1">
      <c r="A109" s="7" t="s">
        <v>51</v>
      </c>
      <c r="B109" s="7" t="s">
        <v>257</v>
      </c>
      <c r="C109" s="7" t="s">
        <v>471</v>
      </c>
      <c r="D109" s="7" t="s">
        <v>259</v>
      </c>
      <c r="E109" s="9">
        <v>85</v>
      </c>
      <c r="F109" s="9">
        <v>2</v>
      </c>
      <c r="G109" s="9">
        <v>0</v>
      </c>
      <c r="H109" s="11">
        <v>0</v>
      </c>
      <c r="I109" s="7" t="s">
        <v>257</v>
      </c>
    </row>
    <row r="110" spans="1:9" ht="21" customHeight="1">
      <c r="A110" s="7" t="s">
        <v>52</v>
      </c>
      <c r="B110" s="7" t="s">
        <v>416</v>
      </c>
      <c r="C110" s="7" t="s">
        <v>530</v>
      </c>
      <c r="D110" s="7" t="s">
        <v>262</v>
      </c>
      <c r="E110" s="9">
        <v>5</v>
      </c>
      <c r="F110" s="9">
        <v>0</v>
      </c>
      <c r="G110" s="9">
        <v>0</v>
      </c>
      <c r="H110" s="11">
        <v>0</v>
      </c>
      <c r="I110" s="7" t="s">
        <v>416</v>
      </c>
    </row>
    <row r="111" spans="1:9" ht="21" customHeight="1">
      <c r="A111" s="7" t="s">
        <v>52</v>
      </c>
      <c r="B111" s="7" t="s">
        <v>260</v>
      </c>
      <c r="C111" s="7" t="s">
        <v>512</v>
      </c>
      <c r="D111" s="7" t="s">
        <v>262</v>
      </c>
      <c r="E111" s="9">
        <v>1777</v>
      </c>
      <c r="F111" s="9">
        <v>0</v>
      </c>
      <c r="G111" s="9">
        <v>0</v>
      </c>
      <c r="H111" s="11">
        <v>0</v>
      </c>
      <c r="I111" s="7" t="s">
        <v>260</v>
      </c>
    </row>
    <row r="112" spans="1:9" ht="21" customHeight="1">
      <c r="A112" s="7" t="s">
        <v>52</v>
      </c>
      <c r="B112" s="7" t="s">
        <v>263</v>
      </c>
      <c r="C112" s="7" t="s">
        <v>513</v>
      </c>
      <c r="D112" s="7" t="s">
        <v>262</v>
      </c>
      <c r="E112" s="9">
        <v>883</v>
      </c>
      <c r="F112" s="9">
        <v>0</v>
      </c>
      <c r="G112" s="9">
        <v>0</v>
      </c>
      <c r="H112" s="11">
        <v>0</v>
      </c>
      <c r="I112" s="7" t="s">
        <v>263</v>
      </c>
    </row>
    <row r="113" spans="1:9" ht="21" customHeight="1">
      <c r="A113" s="7" t="s">
        <v>52</v>
      </c>
      <c r="B113" s="7" t="s">
        <v>265</v>
      </c>
      <c r="C113" s="7" t="s">
        <v>419</v>
      </c>
      <c r="D113" s="7" t="s">
        <v>262</v>
      </c>
      <c r="E113" s="9">
        <v>531</v>
      </c>
      <c r="F113" s="9">
        <v>18</v>
      </c>
      <c r="G113" s="9">
        <v>0</v>
      </c>
      <c r="H113" s="11">
        <v>0</v>
      </c>
      <c r="I113" s="7" t="s">
        <v>265</v>
      </c>
    </row>
    <row r="114" spans="1:9" ht="21" customHeight="1">
      <c r="A114" s="7" t="s">
        <v>52</v>
      </c>
      <c r="B114" s="7" t="s">
        <v>267</v>
      </c>
      <c r="C114" s="7" t="s">
        <v>420</v>
      </c>
      <c r="D114" s="7" t="s">
        <v>262</v>
      </c>
      <c r="E114" s="9">
        <v>26</v>
      </c>
      <c r="F114" s="9">
        <v>0</v>
      </c>
      <c r="G114" s="9">
        <v>0</v>
      </c>
      <c r="H114" s="11">
        <v>0</v>
      </c>
      <c r="I114" s="7" t="s">
        <v>267</v>
      </c>
    </row>
    <row r="115" spans="1:9" ht="21" customHeight="1">
      <c r="A115" s="7" t="s">
        <v>52</v>
      </c>
      <c r="B115" s="7" t="s">
        <v>531</v>
      </c>
      <c r="C115" s="7" t="s">
        <v>532</v>
      </c>
      <c r="D115" s="7" t="s">
        <v>262</v>
      </c>
      <c r="E115" s="9">
        <v>2</v>
      </c>
      <c r="F115" s="9">
        <v>0</v>
      </c>
      <c r="G115" s="9">
        <v>0</v>
      </c>
      <c r="H115" s="11">
        <v>0</v>
      </c>
      <c r="I115" s="7" t="s">
        <v>531</v>
      </c>
    </row>
    <row r="116" spans="1:9" ht="21" customHeight="1">
      <c r="A116" s="7" t="s">
        <v>52</v>
      </c>
      <c r="B116" s="7" t="s">
        <v>268</v>
      </c>
      <c r="C116" s="7" t="s">
        <v>514</v>
      </c>
      <c r="D116" s="7" t="s">
        <v>262</v>
      </c>
      <c r="E116" s="9">
        <v>23</v>
      </c>
      <c r="F116" s="9">
        <v>0</v>
      </c>
      <c r="G116" s="9">
        <v>0</v>
      </c>
      <c r="H116" s="11">
        <v>0</v>
      </c>
      <c r="I116" s="7" t="s">
        <v>268</v>
      </c>
    </row>
    <row r="117" spans="1:9" ht="21" customHeight="1">
      <c r="A117" s="7" t="s">
        <v>52</v>
      </c>
      <c r="B117" s="7" t="s">
        <v>269</v>
      </c>
      <c r="C117" s="7" t="s">
        <v>421</v>
      </c>
      <c r="D117" s="7" t="s">
        <v>262</v>
      </c>
      <c r="E117" s="9">
        <v>178</v>
      </c>
      <c r="F117" s="9">
        <v>0</v>
      </c>
      <c r="G117" s="9">
        <v>0</v>
      </c>
      <c r="H117" s="11">
        <v>0</v>
      </c>
      <c r="I117" s="7" t="s">
        <v>269</v>
      </c>
    </row>
    <row r="118" spans="1:9" ht="21" customHeight="1">
      <c r="A118" s="7" t="s">
        <v>52</v>
      </c>
      <c r="B118" s="7" t="s">
        <v>271</v>
      </c>
      <c r="C118" s="7" t="s">
        <v>475</v>
      </c>
      <c r="D118" s="7" t="s">
        <v>262</v>
      </c>
      <c r="E118" s="9">
        <v>123</v>
      </c>
      <c r="F118" s="9">
        <v>0</v>
      </c>
      <c r="G118" s="9">
        <v>0</v>
      </c>
      <c r="H118" s="11">
        <v>0</v>
      </c>
      <c r="I118" s="7" t="s">
        <v>271</v>
      </c>
    </row>
    <row r="119" spans="1:9" ht="21" customHeight="1">
      <c r="A119" s="7" t="s">
        <v>52</v>
      </c>
      <c r="B119" s="7" t="s">
        <v>273</v>
      </c>
      <c r="C119" s="7" t="s">
        <v>476</v>
      </c>
      <c r="D119" s="7" t="s">
        <v>262</v>
      </c>
      <c r="E119" s="9">
        <v>1376</v>
      </c>
      <c r="F119" s="9">
        <v>0</v>
      </c>
      <c r="G119" s="9">
        <v>0</v>
      </c>
      <c r="H119" s="11">
        <v>0</v>
      </c>
      <c r="I119" s="7" t="s">
        <v>273</v>
      </c>
    </row>
    <row r="120" spans="1:9" ht="21" customHeight="1">
      <c r="A120" s="7" t="s">
        <v>52</v>
      </c>
      <c r="B120" s="7" t="s">
        <v>275</v>
      </c>
      <c r="C120" s="7" t="s">
        <v>477</v>
      </c>
      <c r="D120" s="7" t="s">
        <v>262</v>
      </c>
      <c r="E120" s="9">
        <v>54</v>
      </c>
      <c r="F120" s="9">
        <v>0</v>
      </c>
      <c r="G120" s="9">
        <v>0</v>
      </c>
      <c r="H120" s="11">
        <v>0</v>
      </c>
      <c r="I120" s="7" t="s">
        <v>275</v>
      </c>
    </row>
    <row r="121" spans="1:9" ht="21" customHeight="1">
      <c r="A121" s="7" t="s">
        <v>52</v>
      </c>
      <c r="B121" s="7" t="s">
        <v>277</v>
      </c>
      <c r="C121" s="7" t="s">
        <v>478</v>
      </c>
      <c r="D121" s="7" t="s">
        <v>262</v>
      </c>
      <c r="E121" s="9">
        <v>384</v>
      </c>
      <c r="F121" s="9">
        <v>0</v>
      </c>
      <c r="G121" s="9">
        <v>0</v>
      </c>
      <c r="H121" s="11">
        <v>0</v>
      </c>
      <c r="I121" s="7" t="s">
        <v>277</v>
      </c>
    </row>
    <row r="122" spans="1:9" ht="21" customHeight="1">
      <c r="A122" s="7" t="s">
        <v>52</v>
      </c>
      <c r="B122" s="7" t="s">
        <v>279</v>
      </c>
      <c r="C122" s="7" t="s">
        <v>479</v>
      </c>
      <c r="D122" s="7" t="s">
        <v>262</v>
      </c>
      <c r="E122" s="9">
        <v>108</v>
      </c>
      <c r="F122" s="9">
        <v>0</v>
      </c>
      <c r="G122" s="9">
        <v>0</v>
      </c>
      <c r="H122" s="11">
        <v>0</v>
      </c>
      <c r="I122" s="7" t="s">
        <v>279</v>
      </c>
    </row>
    <row r="123" spans="1:9" ht="21" customHeight="1">
      <c r="A123" s="7" t="s">
        <v>52</v>
      </c>
      <c r="B123" s="7" t="s">
        <v>280</v>
      </c>
      <c r="C123" s="7" t="s">
        <v>533</v>
      </c>
      <c r="D123" s="7" t="s">
        <v>262</v>
      </c>
      <c r="E123" s="9">
        <v>16</v>
      </c>
      <c r="F123" s="9">
        <v>0</v>
      </c>
      <c r="G123" s="9">
        <v>0</v>
      </c>
      <c r="H123" s="11">
        <v>0</v>
      </c>
      <c r="I123" s="7" t="s">
        <v>280</v>
      </c>
    </row>
    <row r="124" spans="1:9" ht="21" customHeight="1">
      <c r="A124" s="7" t="s">
        <v>52</v>
      </c>
      <c r="B124" s="7" t="s">
        <v>281</v>
      </c>
      <c r="C124" s="7" t="s">
        <v>424</v>
      </c>
      <c r="D124" s="7" t="s">
        <v>262</v>
      </c>
      <c r="E124" s="9">
        <v>7</v>
      </c>
      <c r="F124" s="9">
        <v>0</v>
      </c>
      <c r="G124" s="9">
        <v>0</v>
      </c>
      <c r="H124" s="11">
        <v>0</v>
      </c>
      <c r="I124" s="7" t="s">
        <v>281</v>
      </c>
    </row>
    <row r="125" spans="1:9" ht="21" customHeight="1">
      <c r="A125" s="7" t="s">
        <v>52</v>
      </c>
      <c r="B125" s="7" t="s">
        <v>283</v>
      </c>
      <c r="C125" s="7" t="s">
        <v>484</v>
      </c>
      <c r="D125" s="7" t="s">
        <v>262</v>
      </c>
      <c r="E125" s="9">
        <v>126</v>
      </c>
      <c r="F125" s="9">
        <v>0</v>
      </c>
      <c r="G125" s="9">
        <v>0</v>
      </c>
      <c r="H125" s="11">
        <v>0</v>
      </c>
      <c r="I125" s="7" t="s">
        <v>283</v>
      </c>
    </row>
    <row r="126" spans="1:9" ht="21" customHeight="1">
      <c r="A126" s="8" t="s">
        <v>52</v>
      </c>
      <c r="B126" s="8" t="s">
        <v>286</v>
      </c>
      <c r="C126" s="8" t="s">
        <v>426</v>
      </c>
      <c r="D126" s="8" t="s">
        <v>262</v>
      </c>
      <c r="E126" s="10">
        <v>24</v>
      </c>
      <c r="F126" s="10">
        <v>0</v>
      </c>
      <c r="G126" s="10">
        <v>0</v>
      </c>
      <c r="H126" s="12">
        <v>0</v>
      </c>
      <c r="I126" s="8" t="s">
        <v>286</v>
      </c>
    </row>
    <row r="128" spans="1:9">
      <c r="A128" s="21" t="s">
        <v>288</v>
      </c>
      <c r="B128" s="22"/>
      <c r="C128" s="22"/>
      <c r="D128" s="22"/>
      <c r="E128" s="13">
        <f>SUM(E6:E126)</f>
        <v>783663</v>
      </c>
      <c r="F128" s="13">
        <f>SUM(F6:F126)</f>
        <v>45827</v>
      </c>
      <c r="G128" s="13">
        <f>SUM(G6:G126)</f>
        <v>1214</v>
      </c>
      <c r="H128" s="14">
        <f>SUM(H6:H126)</f>
        <v>1992703.4964650001</v>
      </c>
    </row>
  </sheetData>
  <mergeCells count="1">
    <mergeCell ref="A128:D128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A3AF"/>
  </sheetPr>
  <dimension ref="A1:I13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29" customWidth="1"/>
    <col min="2" max="2" width="31" customWidth="1"/>
    <col min="3" max="3" width="48" customWidth="1"/>
    <col min="4" max="4" width="29" customWidth="1"/>
    <col min="5" max="7" width="17" customWidth="1"/>
    <col min="8" max="8" width="20" customWidth="1"/>
    <col min="9" max="9" width="38" customWidth="1"/>
  </cols>
  <sheetData>
    <row r="1" spans="1:9" ht="8" customHeight="1"/>
    <row r="2" spans="1:9" ht="19">
      <c r="A2" s="1" t="s">
        <v>534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535</v>
      </c>
    </row>
    <row r="5" spans="1:9" ht="30" customHeight="1">
      <c r="A5" s="4" t="s">
        <v>35</v>
      </c>
      <c r="B5" s="5" t="s">
        <v>55</v>
      </c>
      <c r="C5" s="5" t="s">
        <v>56</v>
      </c>
      <c r="D5" s="5" t="s">
        <v>57</v>
      </c>
      <c r="E5" s="5" t="s">
        <v>36</v>
      </c>
      <c r="F5" s="5" t="s">
        <v>37</v>
      </c>
      <c r="G5" s="5" t="s">
        <v>38</v>
      </c>
      <c r="H5" s="5" t="s">
        <v>39</v>
      </c>
      <c r="I5" s="6" t="s">
        <v>58</v>
      </c>
    </row>
    <row r="6" spans="1:9" ht="21" customHeight="1">
      <c r="A6" s="7" t="s">
        <v>41</v>
      </c>
      <c r="B6" s="7" t="s">
        <v>59</v>
      </c>
      <c r="C6" s="7" t="s">
        <v>60</v>
      </c>
      <c r="D6" s="7" t="s">
        <v>61</v>
      </c>
      <c r="E6" s="9">
        <v>227023</v>
      </c>
      <c r="F6" s="9">
        <v>14876</v>
      </c>
      <c r="G6" s="9">
        <v>314</v>
      </c>
      <c r="H6" s="11">
        <v>599522.61266700004</v>
      </c>
      <c r="I6" s="7" t="s">
        <v>59</v>
      </c>
    </row>
    <row r="7" spans="1:9" ht="21" customHeight="1">
      <c r="A7" s="7" t="s">
        <v>41</v>
      </c>
      <c r="B7" s="7" t="s">
        <v>62</v>
      </c>
      <c r="C7" s="7" t="s">
        <v>63</v>
      </c>
      <c r="D7" s="7" t="s">
        <v>61</v>
      </c>
      <c r="E7" s="9">
        <v>162809</v>
      </c>
      <c r="F7" s="9">
        <v>7180</v>
      </c>
      <c r="G7" s="9">
        <v>94</v>
      </c>
      <c r="H7" s="11">
        <v>543475.99412199995</v>
      </c>
      <c r="I7" s="7" t="s">
        <v>62</v>
      </c>
    </row>
    <row r="8" spans="1:9" ht="21" customHeight="1">
      <c r="A8" s="7" t="s">
        <v>41</v>
      </c>
      <c r="B8" s="7" t="s">
        <v>64</v>
      </c>
      <c r="C8" s="7" t="s">
        <v>65</v>
      </c>
      <c r="D8" s="7" t="s">
        <v>61</v>
      </c>
      <c r="E8" s="9">
        <v>156344</v>
      </c>
      <c r="F8" s="9">
        <v>7191</v>
      </c>
      <c r="G8" s="9">
        <v>70</v>
      </c>
      <c r="H8" s="11">
        <v>320806.68181799998</v>
      </c>
      <c r="I8" s="7" t="s">
        <v>64</v>
      </c>
    </row>
    <row r="9" spans="1:9" ht="21" customHeight="1">
      <c r="A9" s="7" t="s">
        <v>41</v>
      </c>
      <c r="B9" s="7" t="s">
        <v>68</v>
      </c>
      <c r="C9" s="7" t="s">
        <v>69</v>
      </c>
      <c r="D9" s="7" t="s">
        <v>61</v>
      </c>
      <c r="E9" s="9">
        <v>54354</v>
      </c>
      <c r="F9" s="9">
        <v>3907</v>
      </c>
      <c r="G9" s="9">
        <v>16</v>
      </c>
      <c r="H9" s="11">
        <v>190760.90005900001</v>
      </c>
      <c r="I9" s="7" t="s">
        <v>68</v>
      </c>
    </row>
    <row r="10" spans="1:9" ht="21" customHeight="1">
      <c r="A10" s="7" t="s">
        <v>41</v>
      </c>
      <c r="B10" s="7" t="s">
        <v>66</v>
      </c>
      <c r="C10" s="7" t="s">
        <v>67</v>
      </c>
      <c r="D10" s="7" t="s">
        <v>61</v>
      </c>
      <c r="E10" s="9">
        <v>35847</v>
      </c>
      <c r="F10" s="9">
        <v>2003</v>
      </c>
      <c r="G10" s="9">
        <v>44</v>
      </c>
      <c r="H10" s="11">
        <v>121148.445294</v>
      </c>
      <c r="I10" s="7" t="s">
        <v>66</v>
      </c>
    </row>
    <row r="11" spans="1:9" ht="21" customHeight="1">
      <c r="A11" s="7" t="s">
        <v>41</v>
      </c>
      <c r="B11" s="7" t="s">
        <v>70</v>
      </c>
      <c r="C11" s="7" t="s">
        <v>71</v>
      </c>
      <c r="D11" s="7" t="s">
        <v>61</v>
      </c>
      <c r="E11" s="9">
        <v>16094</v>
      </c>
      <c r="F11" s="9">
        <v>653</v>
      </c>
      <c r="G11" s="9">
        <v>14</v>
      </c>
      <c r="H11" s="11">
        <v>25075.000001</v>
      </c>
      <c r="I11" s="7" t="s">
        <v>70</v>
      </c>
    </row>
    <row r="12" spans="1:9" ht="21" customHeight="1">
      <c r="A12" s="7" t="s">
        <v>41</v>
      </c>
      <c r="B12" s="7" t="s">
        <v>72</v>
      </c>
      <c r="C12" s="7" t="s">
        <v>73</v>
      </c>
      <c r="D12" s="7" t="s">
        <v>61</v>
      </c>
      <c r="E12" s="9">
        <v>9222</v>
      </c>
      <c r="F12" s="9">
        <v>471</v>
      </c>
      <c r="G12" s="9">
        <v>4</v>
      </c>
      <c r="H12" s="11">
        <v>13550.000001</v>
      </c>
      <c r="I12" s="7" t="s">
        <v>72</v>
      </c>
    </row>
    <row r="13" spans="1:9" ht="21" customHeight="1">
      <c r="A13" s="7" t="s">
        <v>42</v>
      </c>
      <c r="B13" s="7" t="s">
        <v>82</v>
      </c>
      <c r="C13" s="7" t="s">
        <v>83</v>
      </c>
      <c r="D13" s="7" t="s">
        <v>61</v>
      </c>
      <c r="E13" s="9">
        <v>15657</v>
      </c>
      <c r="F13" s="9">
        <v>1338</v>
      </c>
      <c r="G13" s="9">
        <v>50</v>
      </c>
      <c r="H13" s="11">
        <v>33831.065701</v>
      </c>
      <c r="I13" s="7" t="s">
        <v>82</v>
      </c>
    </row>
    <row r="14" spans="1:9" ht="21" customHeight="1">
      <c r="A14" s="7" t="s">
        <v>42</v>
      </c>
      <c r="B14" s="7" t="s">
        <v>78</v>
      </c>
      <c r="C14" s="7" t="s">
        <v>79</v>
      </c>
      <c r="D14" s="7" t="s">
        <v>61</v>
      </c>
      <c r="E14" s="9">
        <v>20712</v>
      </c>
      <c r="F14" s="9">
        <v>1314</v>
      </c>
      <c r="G14" s="9">
        <v>68</v>
      </c>
      <c r="H14" s="11">
        <v>20517.455524000001</v>
      </c>
      <c r="I14" s="7" t="s">
        <v>78</v>
      </c>
    </row>
    <row r="15" spans="1:9" ht="21" customHeight="1">
      <c r="A15" s="7" t="s">
        <v>42</v>
      </c>
      <c r="B15" s="7" t="s">
        <v>90</v>
      </c>
      <c r="C15" s="7" t="s">
        <v>91</v>
      </c>
      <c r="D15" s="7" t="s">
        <v>61</v>
      </c>
      <c r="E15" s="9">
        <v>14727</v>
      </c>
      <c r="F15" s="9">
        <v>711</v>
      </c>
      <c r="G15" s="9">
        <v>26</v>
      </c>
      <c r="H15" s="11">
        <v>20012.588984999999</v>
      </c>
      <c r="I15" s="7" t="s">
        <v>90</v>
      </c>
    </row>
    <row r="16" spans="1:9" ht="21" customHeight="1">
      <c r="A16" s="7" t="s">
        <v>42</v>
      </c>
      <c r="B16" s="7" t="s">
        <v>76</v>
      </c>
      <c r="C16" s="7" t="s">
        <v>487</v>
      </c>
      <c r="D16" s="7" t="s">
        <v>61</v>
      </c>
      <c r="E16" s="9">
        <v>17982</v>
      </c>
      <c r="F16" s="9">
        <v>1054</v>
      </c>
      <c r="G16" s="9">
        <v>35</v>
      </c>
      <c r="H16" s="11">
        <v>15867.169234999999</v>
      </c>
      <c r="I16" s="7" t="s">
        <v>76</v>
      </c>
    </row>
    <row r="17" spans="1:9" ht="21" customHeight="1">
      <c r="A17" s="7" t="s">
        <v>42</v>
      </c>
      <c r="B17" s="7" t="s">
        <v>74</v>
      </c>
      <c r="C17" s="7" t="s">
        <v>536</v>
      </c>
      <c r="D17" s="7" t="s">
        <v>61</v>
      </c>
      <c r="E17" s="9">
        <v>37254</v>
      </c>
      <c r="F17" s="9">
        <v>956</v>
      </c>
      <c r="G17" s="9">
        <v>33</v>
      </c>
      <c r="H17" s="11">
        <v>14645.497950999999</v>
      </c>
      <c r="I17" s="7" t="s">
        <v>74</v>
      </c>
    </row>
    <row r="18" spans="1:9" ht="21" customHeight="1">
      <c r="A18" s="7" t="s">
        <v>42</v>
      </c>
      <c r="B18" s="7" t="s">
        <v>80</v>
      </c>
      <c r="C18" s="7" t="s">
        <v>81</v>
      </c>
      <c r="D18" s="7" t="s">
        <v>61</v>
      </c>
      <c r="E18" s="9">
        <v>6260</v>
      </c>
      <c r="F18" s="9">
        <v>250</v>
      </c>
      <c r="G18" s="9">
        <v>8</v>
      </c>
      <c r="H18" s="11">
        <v>10911.736253999999</v>
      </c>
      <c r="I18" s="7" t="s">
        <v>80</v>
      </c>
    </row>
    <row r="19" spans="1:9" ht="21" customHeight="1">
      <c r="A19" s="7" t="s">
        <v>42</v>
      </c>
      <c r="B19" s="7" t="s">
        <v>96</v>
      </c>
      <c r="C19" s="7" t="s">
        <v>97</v>
      </c>
      <c r="D19" s="7" t="s">
        <v>61</v>
      </c>
      <c r="E19" s="9">
        <v>2386</v>
      </c>
      <c r="F19" s="9">
        <v>121</v>
      </c>
      <c r="G19" s="9">
        <v>4</v>
      </c>
      <c r="H19" s="11">
        <v>10259.999997000001</v>
      </c>
      <c r="I19" s="7" t="s">
        <v>96</v>
      </c>
    </row>
    <row r="20" spans="1:9" ht="21" customHeight="1">
      <c r="A20" s="7" t="s">
        <v>42</v>
      </c>
      <c r="B20" s="7" t="s">
        <v>88</v>
      </c>
      <c r="C20" s="7" t="s">
        <v>488</v>
      </c>
      <c r="D20" s="7" t="s">
        <v>61</v>
      </c>
      <c r="E20" s="9">
        <v>13998</v>
      </c>
      <c r="F20" s="9">
        <v>648</v>
      </c>
      <c r="G20" s="9">
        <v>33</v>
      </c>
      <c r="H20" s="11">
        <v>9788.4471310000008</v>
      </c>
      <c r="I20" s="7" t="s">
        <v>88</v>
      </c>
    </row>
    <row r="21" spans="1:9" ht="21" customHeight="1">
      <c r="A21" s="7" t="s">
        <v>42</v>
      </c>
      <c r="B21" s="7" t="s">
        <v>98</v>
      </c>
      <c r="C21" s="7" t="s">
        <v>430</v>
      </c>
      <c r="D21" s="7" t="s">
        <v>61</v>
      </c>
      <c r="E21" s="9">
        <v>4321</v>
      </c>
      <c r="F21" s="9">
        <v>174</v>
      </c>
      <c r="G21" s="9">
        <v>10</v>
      </c>
      <c r="H21" s="11">
        <v>9492.2050749999999</v>
      </c>
      <c r="I21" s="7" t="s">
        <v>98</v>
      </c>
    </row>
    <row r="22" spans="1:9" ht="21" customHeight="1">
      <c r="A22" s="7" t="s">
        <v>42</v>
      </c>
      <c r="B22" s="7" t="s">
        <v>100</v>
      </c>
      <c r="C22" s="7" t="s">
        <v>431</v>
      </c>
      <c r="D22" s="7" t="s">
        <v>61</v>
      </c>
      <c r="E22" s="9">
        <v>1429</v>
      </c>
      <c r="F22" s="9">
        <v>55</v>
      </c>
      <c r="G22" s="9">
        <v>3</v>
      </c>
      <c r="H22" s="11">
        <v>8619.9999989999997</v>
      </c>
      <c r="I22" s="7" t="s">
        <v>100</v>
      </c>
    </row>
    <row r="23" spans="1:9" ht="21" customHeight="1">
      <c r="A23" s="7" t="s">
        <v>42</v>
      </c>
      <c r="B23" s="7" t="s">
        <v>92</v>
      </c>
      <c r="C23" s="7" t="s">
        <v>491</v>
      </c>
      <c r="D23" s="7" t="s">
        <v>61</v>
      </c>
      <c r="E23" s="9">
        <v>10840</v>
      </c>
      <c r="F23" s="9">
        <v>376</v>
      </c>
      <c r="G23" s="9">
        <v>10</v>
      </c>
      <c r="H23" s="11">
        <v>8181.9999939999998</v>
      </c>
      <c r="I23" s="7" t="s">
        <v>92</v>
      </c>
    </row>
    <row r="24" spans="1:9" ht="21" customHeight="1">
      <c r="A24" s="7" t="s">
        <v>42</v>
      </c>
      <c r="B24" s="7" t="s">
        <v>86</v>
      </c>
      <c r="C24" s="7" t="s">
        <v>490</v>
      </c>
      <c r="D24" s="7" t="s">
        <v>61</v>
      </c>
      <c r="E24" s="9">
        <v>5413</v>
      </c>
      <c r="F24" s="9">
        <v>304</v>
      </c>
      <c r="G24" s="9">
        <v>10</v>
      </c>
      <c r="H24" s="11">
        <v>4475.4691899999998</v>
      </c>
      <c r="I24" s="7" t="s">
        <v>86</v>
      </c>
    </row>
    <row r="25" spans="1:9" ht="21" customHeight="1">
      <c r="A25" s="7" t="s">
        <v>42</v>
      </c>
      <c r="B25" s="7" t="s">
        <v>94</v>
      </c>
      <c r="C25" s="7" t="s">
        <v>95</v>
      </c>
      <c r="D25" s="7" t="s">
        <v>61</v>
      </c>
      <c r="E25" s="9">
        <v>3100</v>
      </c>
      <c r="F25" s="9">
        <v>115</v>
      </c>
      <c r="G25" s="9">
        <v>2</v>
      </c>
      <c r="H25" s="11">
        <v>2800.0000020000002</v>
      </c>
      <c r="I25" s="7" t="s">
        <v>94</v>
      </c>
    </row>
    <row r="26" spans="1:9" ht="21" customHeight="1">
      <c r="A26" s="7" t="s">
        <v>42</v>
      </c>
      <c r="B26" s="7" t="s">
        <v>104</v>
      </c>
      <c r="C26" s="7" t="s">
        <v>300</v>
      </c>
      <c r="D26" s="7" t="s">
        <v>61</v>
      </c>
      <c r="E26" s="9">
        <v>374</v>
      </c>
      <c r="F26" s="9">
        <v>17</v>
      </c>
      <c r="G26" s="9">
        <v>1</v>
      </c>
      <c r="H26" s="11">
        <v>669.97183299999995</v>
      </c>
      <c r="I26" s="7" t="s">
        <v>104</v>
      </c>
    </row>
    <row r="27" spans="1:9" ht="21" customHeight="1">
      <c r="A27" s="7" t="s">
        <v>42</v>
      </c>
      <c r="B27" s="7" t="s">
        <v>112</v>
      </c>
      <c r="C27" s="7" t="s">
        <v>294</v>
      </c>
      <c r="D27" s="7" t="s">
        <v>61</v>
      </c>
      <c r="E27" s="9">
        <v>762</v>
      </c>
      <c r="F27" s="9">
        <v>19</v>
      </c>
      <c r="G27" s="9">
        <v>0</v>
      </c>
      <c r="H27" s="11">
        <v>-432.500001</v>
      </c>
      <c r="I27" s="7" t="s">
        <v>112</v>
      </c>
    </row>
    <row r="28" spans="1:9" ht="21" customHeight="1">
      <c r="A28" s="7" t="s">
        <v>42</v>
      </c>
      <c r="B28" s="7" t="s">
        <v>84</v>
      </c>
      <c r="C28" s="7" t="s">
        <v>85</v>
      </c>
      <c r="D28" s="7" t="s">
        <v>61</v>
      </c>
      <c r="E28" s="9">
        <v>1664</v>
      </c>
      <c r="F28" s="9">
        <v>91</v>
      </c>
      <c r="G28" s="9">
        <v>0</v>
      </c>
      <c r="H28" s="11">
        <v>0</v>
      </c>
      <c r="I28" s="7" t="s">
        <v>84</v>
      </c>
    </row>
    <row r="29" spans="1:9" ht="21" customHeight="1">
      <c r="A29" s="7" t="s">
        <v>42</v>
      </c>
      <c r="B29" s="7" t="s">
        <v>102</v>
      </c>
      <c r="C29" s="7" t="s">
        <v>298</v>
      </c>
      <c r="D29" s="7" t="s">
        <v>61</v>
      </c>
      <c r="E29" s="9">
        <v>126</v>
      </c>
      <c r="F29" s="9">
        <v>0</v>
      </c>
      <c r="G29" s="9">
        <v>0</v>
      </c>
      <c r="H29" s="11">
        <v>0</v>
      </c>
      <c r="I29" s="7" t="s">
        <v>102</v>
      </c>
    </row>
    <row r="30" spans="1:9" ht="21" customHeight="1">
      <c r="A30" s="7" t="s">
        <v>42</v>
      </c>
      <c r="B30" s="7" t="s">
        <v>106</v>
      </c>
      <c r="C30" s="7" t="s">
        <v>432</v>
      </c>
      <c r="D30" s="7" t="s">
        <v>61</v>
      </c>
      <c r="E30" s="9">
        <v>14</v>
      </c>
      <c r="F30" s="9">
        <v>0</v>
      </c>
      <c r="G30" s="9">
        <v>0</v>
      </c>
      <c r="H30" s="11">
        <v>0</v>
      </c>
      <c r="I30" s="7" t="s">
        <v>106</v>
      </c>
    </row>
    <row r="31" spans="1:9" ht="21" customHeight="1">
      <c r="A31" s="7" t="s">
        <v>42</v>
      </c>
      <c r="B31" s="7" t="s">
        <v>108</v>
      </c>
      <c r="C31" s="7" t="s">
        <v>293</v>
      </c>
      <c r="D31" s="7" t="s">
        <v>61</v>
      </c>
      <c r="E31" s="9">
        <v>207</v>
      </c>
      <c r="F31" s="9">
        <v>0</v>
      </c>
      <c r="G31" s="9">
        <v>0</v>
      </c>
      <c r="H31" s="11">
        <v>0</v>
      </c>
      <c r="I31" s="7" t="s">
        <v>108</v>
      </c>
    </row>
    <row r="32" spans="1:9" ht="21" customHeight="1">
      <c r="A32" s="7" t="s">
        <v>42</v>
      </c>
      <c r="B32" s="7" t="s">
        <v>110</v>
      </c>
      <c r="C32" s="7" t="s">
        <v>433</v>
      </c>
      <c r="D32" s="7" t="s">
        <v>61</v>
      </c>
      <c r="E32" s="9">
        <v>24</v>
      </c>
      <c r="F32" s="9">
        <v>0</v>
      </c>
      <c r="G32" s="9">
        <v>0</v>
      </c>
      <c r="H32" s="11">
        <v>0</v>
      </c>
      <c r="I32" s="7" t="s">
        <v>110</v>
      </c>
    </row>
    <row r="33" spans="1:9" ht="21" customHeight="1">
      <c r="A33" s="7" t="s">
        <v>42</v>
      </c>
      <c r="B33" s="7" t="s">
        <v>114</v>
      </c>
      <c r="C33" s="7" t="s">
        <v>302</v>
      </c>
      <c r="D33" s="7" t="s">
        <v>61</v>
      </c>
      <c r="E33" s="9">
        <v>18</v>
      </c>
      <c r="F33" s="9">
        <v>0</v>
      </c>
      <c r="G33" s="9">
        <v>0</v>
      </c>
      <c r="H33" s="11">
        <v>0</v>
      </c>
      <c r="I33" s="7" t="s">
        <v>114</v>
      </c>
    </row>
    <row r="34" spans="1:9" ht="21" customHeight="1">
      <c r="A34" s="7" t="s">
        <v>42</v>
      </c>
      <c r="B34" s="7" t="s">
        <v>116</v>
      </c>
      <c r="C34" s="7" t="s">
        <v>434</v>
      </c>
      <c r="D34" s="7" t="s">
        <v>61</v>
      </c>
      <c r="E34" s="9">
        <v>932</v>
      </c>
      <c r="F34" s="9">
        <v>0</v>
      </c>
      <c r="G34" s="9">
        <v>0</v>
      </c>
      <c r="H34" s="11">
        <v>0</v>
      </c>
      <c r="I34" s="7" t="s">
        <v>116</v>
      </c>
    </row>
    <row r="35" spans="1:9" ht="21" customHeight="1">
      <c r="A35" s="7" t="s">
        <v>43</v>
      </c>
      <c r="B35" s="7" t="s">
        <v>121</v>
      </c>
      <c r="C35" s="7" t="s">
        <v>122</v>
      </c>
      <c r="D35" s="7" t="s">
        <v>61</v>
      </c>
      <c r="E35" s="9">
        <v>18197</v>
      </c>
      <c r="F35" s="9">
        <v>751</v>
      </c>
      <c r="G35" s="9">
        <v>41</v>
      </c>
      <c r="H35" s="11">
        <v>10588.838562999999</v>
      </c>
      <c r="I35" s="7" t="s">
        <v>121</v>
      </c>
    </row>
    <row r="36" spans="1:9" ht="21" customHeight="1">
      <c r="A36" s="7" t="s">
        <v>43</v>
      </c>
      <c r="B36" s="7" t="s">
        <v>117</v>
      </c>
      <c r="C36" s="7" t="s">
        <v>492</v>
      </c>
      <c r="D36" s="7" t="s">
        <v>61</v>
      </c>
      <c r="E36" s="9">
        <v>8917</v>
      </c>
      <c r="F36" s="9">
        <v>279</v>
      </c>
      <c r="G36" s="9">
        <v>6</v>
      </c>
      <c r="H36" s="11">
        <v>5589.9999959999996</v>
      </c>
      <c r="I36" s="7" t="s">
        <v>117</v>
      </c>
    </row>
    <row r="37" spans="1:9" ht="21" customHeight="1">
      <c r="A37" s="7" t="s">
        <v>43</v>
      </c>
      <c r="B37" s="7" t="s">
        <v>119</v>
      </c>
      <c r="C37" s="7" t="s">
        <v>435</v>
      </c>
      <c r="D37" s="7" t="s">
        <v>61</v>
      </c>
      <c r="E37" s="9">
        <v>7670</v>
      </c>
      <c r="F37" s="9">
        <v>194</v>
      </c>
      <c r="G37" s="9">
        <v>9</v>
      </c>
      <c r="H37" s="11">
        <v>4292.5000049999999</v>
      </c>
      <c r="I37" s="7" t="s">
        <v>119</v>
      </c>
    </row>
    <row r="38" spans="1:9" ht="21" customHeight="1">
      <c r="A38" s="7" t="s">
        <v>43</v>
      </c>
      <c r="B38" s="7" t="s">
        <v>436</v>
      </c>
      <c r="C38" s="7" t="s">
        <v>437</v>
      </c>
      <c r="D38" s="7" t="s">
        <v>61</v>
      </c>
      <c r="E38" s="9">
        <v>3672</v>
      </c>
      <c r="F38" s="9">
        <v>210</v>
      </c>
      <c r="G38" s="9">
        <v>6</v>
      </c>
      <c r="H38" s="11">
        <v>2160.0000020000002</v>
      </c>
      <c r="I38" s="7" t="s">
        <v>436</v>
      </c>
    </row>
    <row r="39" spans="1:9" ht="21" customHeight="1">
      <c r="A39" s="7" t="s">
        <v>44</v>
      </c>
      <c r="B39" s="7" t="s">
        <v>125</v>
      </c>
      <c r="C39" s="7" t="s">
        <v>126</v>
      </c>
      <c r="D39" s="7" t="s">
        <v>61</v>
      </c>
      <c r="E39" s="9">
        <v>5775</v>
      </c>
      <c r="F39" s="9">
        <v>315</v>
      </c>
      <c r="G39" s="9">
        <v>3</v>
      </c>
      <c r="H39" s="11">
        <v>8884.9999989999997</v>
      </c>
      <c r="I39" s="7" t="s">
        <v>125</v>
      </c>
    </row>
    <row r="40" spans="1:9" ht="21" customHeight="1">
      <c r="A40" s="7" t="s">
        <v>44</v>
      </c>
      <c r="B40" s="7" t="s">
        <v>123</v>
      </c>
      <c r="C40" s="7" t="s">
        <v>124</v>
      </c>
      <c r="D40" s="7" t="s">
        <v>61</v>
      </c>
      <c r="E40" s="9">
        <v>793</v>
      </c>
      <c r="F40" s="9">
        <v>51</v>
      </c>
      <c r="G40" s="9">
        <v>1</v>
      </c>
      <c r="H40" s="11">
        <v>6895.0000010000003</v>
      </c>
      <c r="I40" s="7" t="s">
        <v>123</v>
      </c>
    </row>
    <row r="41" spans="1:9" ht="21" customHeight="1">
      <c r="A41" s="7" t="s">
        <v>44</v>
      </c>
      <c r="B41" s="7" t="s">
        <v>127</v>
      </c>
      <c r="C41" s="7" t="s">
        <v>128</v>
      </c>
      <c r="D41" s="7" t="s">
        <v>61</v>
      </c>
      <c r="E41" s="9">
        <v>4890</v>
      </c>
      <c r="F41" s="9">
        <v>232</v>
      </c>
      <c r="G41" s="9">
        <v>3</v>
      </c>
      <c r="H41" s="11">
        <v>4834.9999989999997</v>
      </c>
      <c r="I41" s="7" t="s">
        <v>127</v>
      </c>
    </row>
    <row r="42" spans="1:9" ht="21" customHeight="1">
      <c r="A42" s="7" t="s">
        <v>44</v>
      </c>
      <c r="B42" s="7" t="s">
        <v>129</v>
      </c>
      <c r="C42" s="7" t="s">
        <v>130</v>
      </c>
      <c r="D42" s="7" t="s">
        <v>61</v>
      </c>
      <c r="E42" s="9">
        <v>2038</v>
      </c>
      <c r="F42" s="9">
        <v>54</v>
      </c>
      <c r="G42" s="9">
        <v>1</v>
      </c>
      <c r="H42" s="11">
        <v>3095.0000020000002</v>
      </c>
      <c r="I42" s="7" t="s">
        <v>129</v>
      </c>
    </row>
    <row r="43" spans="1:9" ht="21" customHeight="1">
      <c r="A43" s="7" t="s">
        <v>44</v>
      </c>
      <c r="B43" s="7" t="s">
        <v>135</v>
      </c>
      <c r="C43" s="7" t="s">
        <v>305</v>
      </c>
      <c r="D43" s="7" t="s">
        <v>61</v>
      </c>
      <c r="E43" s="9">
        <v>1844</v>
      </c>
      <c r="F43" s="9">
        <v>105</v>
      </c>
      <c r="G43" s="9">
        <v>11</v>
      </c>
      <c r="H43" s="11">
        <v>2721.1510010000002</v>
      </c>
      <c r="I43" s="7" t="s">
        <v>135</v>
      </c>
    </row>
    <row r="44" spans="1:9" ht="21" customHeight="1">
      <c r="A44" s="7" t="s">
        <v>44</v>
      </c>
      <c r="B44" s="7" t="s">
        <v>131</v>
      </c>
      <c r="C44" s="7" t="s">
        <v>306</v>
      </c>
      <c r="D44" s="7" t="s">
        <v>61</v>
      </c>
      <c r="E44" s="9">
        <v>2346</v>
      </c>
      <c r="F44" s="9">
        <v>152</v>
      </c>
      <c r="G44" s="9">
        <v>10</v>
      </c>
      <c r="H44" s="11">
        <v>2475.0000049999999</v>
      </c>
      <c r="I44" s="7" t="s">
        <v>131</v>
      </c>
    </row>
    <row r="45" spans="1:9" ht="21" customHeight="1">
      <c r="A45" s="7" t="s">
        <v>44</v>
      </c>
      <c r="B45" s="7" t="s">
        <v>133</v>
      </c>
      <c r="C45" s="7" t="s">
        <v>307</v>
      </c>
      <c r="D45" s="7" t="s">
        <v>61</v>
      </c>
      <c r="E45" s="9">
        <v>529</v>
      </c>
      <c r="F45" s="9">
        <v>15</v>
      </c>
      <c r="G45" s="9">
        <v>0</v>
      </c>
      <c r="H45" s="11">
        <v>0</v>
      </c>
      <c r="I45" s="7" t="s">
        <v>133</v>
      </c>
    </row>
    <row r="46" spans="1:9" ht="21" customHeight="1">
      <c r="A46" s="7" t="s">
        <v>45</v>
      </c>
      <c r="B46" s="7" t="s">
        <v>139</v>
      </c>
      <c r="C46" s="7" t="s">
        <v>140</v>
      </c>
      <c r="D46" s="7" t="s">
        <v>61</v>
      </c>
      <c r="E46" s="9">
        <v>34184</v>
      </c>
      <c r="F46" s="9">
        <v>1747</v>
      </c>
      <c r="G46" s="9">
        <v>118</v>
      </c>
      <c r="H46" s="11">
        <v>25042.400019000001</v>
      </c>
      <c r="I46" s="7" t="s">
        <v>139</v>
      </c>
    </row>
    <row r="47" spans="1:9" ht="21" customHeight="1">
      <c r="A47" s="7" t="s">
        <v>45</v>
      </c>
      <c r="B47" s="7" t="s">
        <v>441</v>
      </c>
      <c r="C47" s="7" t="s">
        <v>442</v>
      </c>
      <c r="D47" s="7" t="s">
        <v>61</v>
      </c>
      <c r="E47" s="9">
        <v>1090</v>
      </c>
      <c r="F47" s="9">
        <v>58</v>
      </c>
      <c r="G47" s="9">
        <v>1</v>
      </c>
      <c r="H47" s="11">
        <v>3399.9999990000001</v>
      </c>
      <c r="I47" s="7" t="s">
        <v>441</v>
      </c>
    </row>
    <row r="48" spans="1:9" ht="21" customHeight="1">
      <c r="A48" s="7" t="s">
        <v>45</v>
      </c>
      <c r="B48" s="7" t="s">
        <v>141</v>
      </c>
      <c r="C48" s="7" t="s">
        <v>142</v>
      </c>
      <c r="D48" s="7" t="s">
        <v>61</v>
      </c>
      <c r="E48" s="9">
        <v>2603</v>
      </c>
      <c r="F48" s="9">
        <v>53</v>
      </c>
      <c r="G48" s="9">
        <v>3</v>
      </c>
      <c r="H48" s="11">
        <v>2385</v>
      </c>
      <c r="I48" s="7" t="s">
        <v>141</v>
      </c>
    </row>
    <row r="49" spans="1:9" ht="21" customHeight="1">
      <c r="A49" s="7" t="s">
        <v>45</v>
      </c>
      <c r="B49" s="7" t="s">
        <v>143</v>
      </c>
      <c r="C49" s="7" t="s">
        <v>144</v>
      </c>
      <c r="D49" s="7" t="s">
        <v>61</v>
      </c>
      <c r="E49" s="9">
        <v>4164</v>
      </c>
      <c r="F49" s="9">
        <v>151</v>
      </c>
      <c r="G49" s="9">
        <v>8</v>
      </c>
      <c r="H49" s="11">
        <v>1991.187414</v>
      </c>
      <c r="I49" s="7" t="s">
        <v>143</v>
      </c>
    </row>
    <row r="50" spans="1:9" ht="21" customHeight="1">
      <c r="A50" s="7" t="s">
        <v>45</v>
      </c>
      <c r="B50" s="7" t="s">
        <v>147</v>
      </c>
      <c r="C50" s="7" t="s">
        <v>308</v>
      </c>
      <c r="D50" s="7" t="s">
        <v>61</v>
      </c>
      <c r="E50" s="9">
        <v>105</v>
      </c>
      <c r="F50" s="9">
        <v>0</v>
      </c>
      <c r="G50" s="9">
        <v>0</v>
      </c>
      <c r="H50" s="11">
        <v>0</v>
      </c>
      <c r="I50" s="7" t="s">
        <v>147</v>
      </c>
    </row>
    <row r="51" spans="1:9" ht="21" customHeight="1">
      <c r="A51" s="7" t="s">
        <v>45</v>
      </c>
      <c r="B51" s="7" t="s">
        <v>149</v>
      </c>
      <c r="C51" s="7" t="s">
        <v>493</v>
      </c>
      <c r="D51" s="7" t="s">
        <v>151</v>
      </c>
      <c r="E51" s="9">
        <v>16</v>
      </c>
      <c r="F51" s="9">
        <v>0</v>
      </c>
      <c r="G51" s="9">
        <v>0</v>
      </c>
      <c r="H51" s="11">
        <v>0</v>
      </c>
      <c r="I51" s="7" t="s">
        <v>152</v>
      </c>
    </row>
    <row r="52" spans="1:9" ht="21" customHeight="1">
      <c r="A52" s="7" t="s">
        <v>45</v>
      </c>
      <c r="B52" s="7" t="s">
        <v>153</v>
      </c>
      <c r="C52" s="7" t="s">
        <v>312</v>
      </c>
      <c r="D52" s="7" t="s">
        <v>61</v>
      </c>
      <c r="E52" s="9">
        <v>117</v>
      </c>
      <c r="F52" s="9">
        <v>0</v>
      </c>
      <c r="G52" s="9">
        <v>0</v>
      </c>
      <c r="H52" s="11">
        <v>0</v>
      </c>
      <c r="I52" s="7" t="s">
        <v>153</v>
      </c>
    </row>
    <row r="53" spans="1:9" ht="21" customHeight="1">
      <c r="A53" s="7" t="s">
        <v>45</v>
      </c>
      <c r="B53" s="7" t="s">
        <v>313</v>
      </c>
      <c r="C53" s="7" t="s">
        <v>314</v>
      </c>
      <c r="D53" s="7" t="s">
        <v>210</v>
      </c>
      <c r="E53" s="9">
        <v>446</v>
      </c>
      <c r="F53" s="9">
        <v>10</v>
      </c>
      <c r="G53" s="9">
        <v>0</v>
      </c>
      <c r="H53" s="11">
        <v>0</v>
      </c>
      <c r="I53" s="7" t="s">
        <v>313</v>
      </c>
    </row>
    <row r="54" spans="1:9" ht="21" customHeight="1">
      <c r="A54" s="7" t="s">
        <v>45</v>
      </c>
      <c r="B54" s="7" t="s">
        <v>137</v>
      </c>
      <c r="C54" s="7" t="s">
        <v>138</v>
      </c>
      <c r="D54" s="7" t="s">
        <v>61</v>
      </c>
      <c r="E54" s="9">
        <v>6563</v>
      </c>
      <c r="F54" s="9">
        <v>156</v>
      </c>
      <c r="G54" s="9">
        <v>0</v>
      </c>
      <c r="H54" s="11">
        <v>0</v>
      </c>
      <c r="I54" s="7" t="s">
        <v>137</v>
      </c>
    </row>
    <row r="55" spans="1:9" ht="21" customHeight="1">
      <c r="A55" s="7" t="s">
        <v>45</v>
      </c>
      <c r="B55" s="7" t="s">
        <v>145</v>
      </c>
      <c r="C55" s="7" t="s">
        <v>146</v>
      </c>
      <c r="D55" s="7" t="s">
        <v>61</v>
      </c>
      <c r="E55" s="9">
        <v>205</v>
      </c>
      <c r="F55" s="9">
        <v>2</v>
      </c>
      <c r="G55" s="9">
        <v>0</v>
      </c>
      <c r="H55" s="11">
        <v>0</v>
      </c>
      <c r="I55" s="7" t="s">
        <v>145</v>
      </c>
    </row>
    <row r="56" spans="1:9" ht="21" customHeight="1">
      <c r="A56" s="7" t="s">
        <v>45</v>
      </c>
      <c r="B56" s="7" t="s">
        <v>155</v>
      </c>
      <c r="C56" s="7" t="s">
        <v>315</v>
      </c>
      <c r="D56" s="7" t="s">
        <v>61</v>
      </c>
      <c r="E56" s="9">
        <v>580</v>
      </c>
      <c r="F56" s="9">
        <v>2</v>
      </c>
      <c r="G56" s="9">
        <v>0</v>
      </c>
      <c r="H56" s="11">
        <v>0</v>
      </c>
      <c r="I56" s="7" t="s">
        <v>155</v>
      </c>
    </row>
    <row r="57" spans="1:9" ht="21" customHeight="1">
      <c r="A57" s="7" t="s">
        <v>45</v>
      </c>
      <c r="B57" s="7" t="s">
        <v>157</v>
      </c>
      <c r="C57" s="7" t="s">
        <v>440</v>
      </c>
      <c r="D57" s="7" t="s">
        <v>61</v>
      </c>
      <c r="E57" s="9">
        <v>82</v>
      </c>
      <c r="F57" s="9">
        <v>0</v>
      </c>
      <c r="G57" s="9">
        <v>0</v>
      </c>
      <c r="H57" s="11">
        <v>0</v>
      </c>
      <c r="I57" s="7" t="s">
        <v>157</v>
      </c>
    </row>
    <row r="58" spans="1:9" ht="21" customHeight="1">
      <c r="A58" s="7" t="s">
        <v>45</v>
      </c>
      <c r="B58" s="7" t="s">
        <v>159</v>
      </c>
      <c r="C58" s="7" t="s">
        <v>316</v>
      </c>
      <c r="D58" s="7" t="s">
        <v>61</v>
      </c>
      <c r="E58" s="9">
        <v>224</v>
      </c>
      <c r="F58" s="9">
        <v>2</v>
      </c>
      <c r="G58" s="9">
        <v>0</v>
      </c>
      <c r="H58" s="11">
        <v>0</v>
      </c>
      <c r="I58" s="7" t="s">
        <v>159</v>
      </c>
    </row>
    <row r="59" spans="1:9" ht="21" customHeight="1">
      <c r="A59" s="7" t="s">
        <v>45</v>
      </c>
      <c r="B59" s="7" t="s">
        <v>160</v>
      </c>
      <c r="C59" s="7" t="s">
        <v>443</v>
      </c>
      <c r="D59" s="7" t="s">
        <v>61</v>
      </c>
      <c r="E59" s="9">
        <v>63</v>
      </c>
      <c r="F59" s="9">
        <v>0</v>
      </c>
      <c r="G59" s="9">
        <v>0</v>
      </c>
      <c r="H59" s="11">
        <v>0</v>
      </c>
      <c r="I59" s="7" t="s">
        <v>160</v>
      </c>
    </row>
    <row r="60" spans="1:9" ht="21" customHeight="1">
      <c r="A60" s="7" t="s">
        <v>45</v>
      </c>
      <c r="B60" s="7" t="s">
        <v>162</v>
      </c>
      <c r="C60" s="7" t="s">
        <v>309</v>
      </c>
      <c r="D60" s="7" t="s">
        <v>61</v>
      </c>
      <c r="E60" s="9">
        <v>111</v>
      </c>
      <c r="F60" s="9">
        <v>1</v>
      </c>
      <c r="G60" s="9">
        <v>1</v>
      </c>
      <c r="H60" s="11">
        <v>0</v>
      </c>
      <c r="I60" s="7" t="s">
        <v>162</v>
      </c>
    </row>
    <row r="61" spans="1:9" ht="21" customHeight="1">
      <c r="A61" s="7" t="s">
        <v>45</v>
      </c>
      <c r="B61" s="7" t="s">
        <v>164</v>
      </c>
      <c r="C61" s="7" t="s">
        <v>317</v>
      </c>
      <c r="D61" s="7" t="s">
        <v>61</v>
      </c>
      <c r="E61" s="9">
        <v>41</v>
      </c>
      <c r="F61" s="9">
        <v>0</v>
      </c>
      <c r="G61" s="9">
        <v>0</v>
      </c>
      <c r="H61" s="11">
        <v>0</v>
      </c>
      <c r="I61" s="7" t="s">
        <v>164</v>
      </c>
    </row>
    <row r="62" spans="1:9" ht="21" customHeight="1">
      <c r="A62" s="7" t="s">
        <v>45</v>
      </c>
      <c r="B62" s="7" t="s">
        <v>166</v>
      </c>
      <c r="C62" s="7" t="s">
        <v>318</v>
      </c>
      <c r="D62" s="7" t="s">
        <v>61</v>
      </c>
      <c r="E62" s="9">
        <v>558</v>
      </c>
      <c r="F62" s="9">
        <v>0</v>
      </c>
      <c r="G62" s="9">
        <v>0</v>
      </c>
      <c r="H62" s="11">
        <v>0</v>
      </c>
      <c r="I62" s="7" t="s">
        <v>166</v>
      </c>
    </row>
    <row r="63" spans="1:9" ht="21" customHeight="1">
      <c r="A63" s="7" t="s">
        <v>45</v>
      </c>
      <c r="B63" s="7" t="s">
        <v>168</v>
      </c>
      <c r="C63" s="7" t="s">
        <v>494</v>
      </c>
      <c r="D63" s="7" t="s">
        <v>61</v>
      </c>
      <c r="E63" s="9">
        <v>241</v>
      </c>
      <c r="F63" s="9">
        <v>13</v>
      </c>
      <c r="G63" s="9">
        <v>0</v>
      </c>
      <c r="H63" s="11">
        <v>0</v>
      </c>
      <c r="I63" s="7" t="s">
        <v>169</v>
      </c>
    </row>
    <row r="64" spans="1:9" ht="21" customHeight="1">
      <c r="A64" s="7" t="s">
        <v>46</v>
      </c>
      <c r="B64" s="7" t="s">
        <v>171</v>
      </c>
      <c r="C64" s="7" t="s">
        <v>172</v>
      </c>
      <c r="D64" s="7" t="s">
        <v>61</v>
      </c>
      <c r="E64" s="9">
        <v>12735</v>
      </c>
      <c r="F64" s="9">
        <v>205</v>
      </c>
      <c r="G64" s="9">
        <v>16</v>
      </c>
      <c r="H64" s="11">
        <v>14600.000005</v>
      </c>
      <c r="I64" s="7" t="s">
        <v>171</v>
      </c>
    </row>
    <row r="65" spans="1:9" ht="21" customHeight="1">
      <c r="A65" s="7" t="s">
        <v>46</v>
      </c>
      <c r="B65" s="7" t="s">
        <v>175</v>
      </c>
      <c r="C65" s="7" t="s">
        <v>176</v>
      </c>
      <c r="D65" s="7" t="s">
        <v>61</v>
      </c>
      <c r="E65" s="9">
        <v>4799</v>
      </c>
      <c r="F65" s="9">
        <v>104</v>
      </c>
      <c r="G65" s="9">
        <v>11</v>
      </c>
      <c r="H65" s="11">
        <v>6028.2669569999998</v>
      </c>
      <c r="I65" s="7" t="s">
        <v>175</v>
      </c>
    </row>
    <row r="66" spans="1:9" ht="21" customHeight="1">
      <c r="A66" s="7" t="s">
        <v>46</v>
      </c>
      <c r="B66" s="7" t="s">
        <v>173</v>
      </c>
      <c r="C66" s="7" t="s">
        <v>445</v>
      </c>
      <c r="D66" s="7" t="s">
        <v>61</v>
      </c>
      <c r="E66" s="9">
        <v>1331</v>
      </c>
      <c r="F66" s="9">
        <v>21</v>
      </c>
      <c r="G66" s="9">
        <v>1</v>
      </c>
      <c r="H66" s="11">
        <v>1750.000002</v>
      </c>
      <c r="I66" s="7" t="s">
        <v>173</v>
      </c>
    </row>
    <row r="67" spans="1:9" ht="21" customHeight="1">
      <c r="A67" s="7" t="s">
        <v>46</v>
      </c>
      <c r="B67" s="7" t="s">
        <v>177</v>
      </c>
      <c r="C67" s="7" t="s">
        <v>178</v>
      </c>
      <c r="D67" s="7" t="s">
        <v>61</v>
      </c>
      <c r="E67" s="9">
        <v>510</v>
      </c>
      <c r="F67" s="9">
        <v>17</v>
      </c>
      <c r="G67" s="9">
        <v>3</v>
      </c>
      <c r="H67" s="11">
        <v>590.000001</v>
      </c>
      <c r="I67" s="7" t="s">
        <v>177</v>
      </c>
    </row>
    <row r="68" spans="1:9" ht="21" customHeight="1">
      <c r="A68" s="7" t="s">
        <v>46</v>
      </c>
      <c r="B68" s="7" t="s">
        <v>320</v>
      </c>
      <c r="C68" s="7" t="s">
        <v>321</v>
      </c>
      <c r="D68" s="7" t="s">
        <v>61</v>
      </c>
      <c r="E68" s="9">
        <v>380</v>
      </c>
      <c r="F68" s="9">
        <v>11</v>
      </c>
      <c r="G68" s="9">
        <v>0</v>
      </c>
      <c r="H68" s="11">
        <v>0</v>
      </c>
      <c r="I68" s="7" t="s">
        <v>320</v>
      </c>
    </row>
    <row r="69" spans="1:9" ht="21" customHeight="1">
      <c r="A69" s="7" t="s">
        <v>47</v>
      </c>
      <c r="B69" s="7" t="s">
        <v>202</v>
      </c>
      <c r="C69" s="7" t="s">
        <v>326</v>
      </c>
      <c r="D69" s="7" t="s">
        <v>181</v>
      </c>
      <c r="E69" s="9">
        <v>625</v>
      </c>
      <c r="F69" s="9">
        <v>8</v>
      </c>
      <c r="G69" s="9">
        <v>2</v>
      </c>
      <c r="H69" s="11">
        <v>539.999999</v>
      </c>
      <c r="I69" s="7" t="s">
        <v>202</v>
      </c>
    </row>
    <row r="70" spans="1:9" ht="21" customHeight="1">
      <c r="A70" s="7" t="s">
        <v>47</v>
      </c>
      <c r="B70" s="7" t="s">
        <v>186</v>
      </c>
      <c r="C70" s="7" t="s">
        <v>333</v>
      </c>
      <c r="D70" s="7" t="s">
        <v>181</v>
      </c>
      <c r="E70" s="9">
        <v>2212</v>
      </c>
      <c r="F70" s="9">
        <v>44</v>
      </c>
      <c r="G70" s="9">
        <v>2</v>
      </c>
      <c r="H70" s="11">
        <v>510.00000299999999</v>
      </c>
      <c r="I70" s="7" t="s">
        <v>186</v>
      </c>
    </row>
    <row r="71" spans="1:9" ht="21" customHeight="1">
      <c r="A71" s="7" t="s">
        <v>47</v>
      </c>
      <c r="B71" s="7" t="s">
        <v>194</v>
      </c>
      <c r="C71" s="7" t="s">
        <v>331</v>
      </c>
      <c r="D71" s="7" t="s">
        <v>181</v>
      </c>
      <c r="E71" s="9">
        <v>1135</v>
      </c>
      <c r="F71" s="9">
        <v>28</v>
      </c>
      <c r="G71" s="9">
        <v>1</v>
      </c>
      <c r="H71" s="11">
        <v>197.500001</v>
      </c>
      <c r="I71" s="7" t="s">
        <v>194</v>
      </c>
    </row>
    <row r="72" spans="1:9" ht="21" customHeight="1">
      <c r="A72" s="7" t="s">
        <v>47</v>
      </c>
      <c r="B72" s="7" t="s">
        <v>182</v>
      </c>
      <c r="C72" s="7" t="s">
        <v>446</v>
      </c>
      <c r="D72" s="7" t="s">
        <v>181</v>
      </c>
      <c r="E72" s="9">
        <v>1665</v>
      </c>
      <c r="F72" s="9">
        <v>32</v>
      </c>
      <c r="G72" s="9">
        <v>0</v>
      </c>
      <c r="H72" s="11">
        <v>0</v>
      </c>
      <c r="I72" s="7" t="s">
        <v>182</v>
      </c>
    </row>
    <row r="73" spans="1:9" ht="21" customHeight="1">
      <c r="A73" s="7" t="s">
        <v>47</v>
      </c>
      <c r="B73" s="7" t="s">
        <v>447</v>
      </c>
      <c r="C73" s="7" t="s">
        <v>448</v>
      </c>
      <c r="D73" s="7" t="s">
        <v>181</v>
      </c>
      <c r="E73" s="9">
        <v>254</v>
      </c>
      <c r="F73" s="9">
        <v>11</v>
      </c>
      <c r="G73" s="9">
        <v>0</v>
      </c>
      <c r="H73" s="11">
        <v>0</v>
      </c>
      <c r="I73" s="7" t="s">
        <v>447</v>
      </c>
    </row>
    <row r="74" spans="1:9" ht="21" customHeight="1">
      <c r="A74" s="7" t="s">
        <v>47</v>
      </c>
      <c r="B74" s="7" t="s">
        <v>179</v>
      </c>
      <c r="C74" s="7" t="s">
        <v>497</v>
      </c>
      <c r="D74" s="7" t="s">
        <v>181</v>
      </c>
      <c r="E74" s="9">
        <v>500</v>
      </c>
      <c r="F74" s="9">
        <v>37</v>
      </c>
      <c r="G74" s="9">
        <v>1</v>
      </c>
      <c r="H74" s="11">
        <v>0</v>
      </c>
      <c r="I74" s="7" t="s">
        <v>179</v>
      </c>
    </row>
    <row r="75" spans="1:9" ht="21" customHeight="1">
      <c r="A75" s="7" t="s">
        <v>47</v>
      </c>
      <c r="B75" s="7" t="s">
        <v>190</v>
      </c>
      <c r="C75" s="7" t="s">
        <v>330</v>
      </c>
      <c r="D75" s="7" t="s">
        <v>181</v>
      </c>
      <c r="E75" s="9">
        <v>969</v>
      </c>
      <c r="F75" s="9">
        <v>19</v>
      </c>
      <c r="G75" s="9">
        <v>0</v>
      </c>
      <c r="H75" s="11">
        <v>0</v>
      </c>
      <c r="I75" s="7" t="s">
        <v>190</v>
      </c>
    </row>
    <row r="76" spans="1:9" ht="21" customHeight="1">
      <c r="A76" s="7" t="s">
        <v>47</v>
      </c>
      <c r="B76" s="7" t="s">
        <v>192</v>
      </c>
      <c r="C76" s="7" t="s">
        <v>449</v>
      </c>
      <c r="D76" s="7" t="s">
        <v>181</v>
      </c>
      <c r="E76" s="9">
        <v>444</v>
      </c>
      <c r="F76" s="9">
        <v>9</v>
      </c>
      <c r="G76" s="9">
        <v>0</v>
      </c>
      <c r="H76" s="11">
        <v>0</v>
      </c>
      <c r="I76" s="7" t="s">
        <v>192</v>
      </c>
    </row>
    <row r="77" spans="1:9" ht="21" customHeight="1">
      <c r="A77" s="7" t="s">
        <v>47</v>
      </c>
      <c r="B77" s="7" t="s">
        <v>450</v>
      </c>
      <c r="C77" s="7" t="s">
        <v>451</v>
      </c>
      <c r="D77" s="7" t="s">
        <v>181</v>
      </c>
      <c r="E77" s="9">
        <v>548</v>
      </c>
      <c r="F77" s="9">
        <v>13</v>
      </c>
      <c r="G77" s="9">
        <v>0</v>
      </c>
      <c r="H77" s="11">
        <v>0</v>
      </c>
      <c r="I77" s="7" t="s">
        <v>450</v>
      </c>
    </row>
    <row r="78" spans="1:9" ht="21" customHeight="1">
      <c r="A78" s="7" t="s">
        <v>47</v>
      </c>
      <c r="B78" s="7" t="s">
        <v>521</v>
      </c>
      <c r="C78" s="7" t="s">
        <v>522</v>
      </c>
      <c r="D78" s="7" t="s">
        <v>181</v>
      </c>
      <c r="E78" s="9">
        <v>179</v>
      </c>
      <c r="F78" s="9">
        <v>0</v>
      </c>
      <c r="G78" s="9">
        <v>0</v>
      </c>
      <c r="H78" s="11">
        <v>0</v>
      </c>
      <c r="I78" s="7" t="s">
        <v>521</v>
      </c>
    </row>
    <row r="79" spans="1:9" ht="21" customHeight="1">
      <c r="A79" s="7" t="s">
        <v>47</v>
      </c>
      <c r="B79" s="7" t="s">
        <v>184</v>
      </c>
      <c r="C79" s="7" t="s">
        <v>495</v>
      </c>
      <c r="D79" s="7" t="s">
        <v>181</v>
      </c>
      <c r="E79" s="9">
        <v>775</v>
      </c>
      <c r="F79" s="9">
        <v>18</v>
      </c>
      <c r="G79" s="9">
        <v>0</v>
      </c>
      <c r="H79" s="11">
        <v>0</v>
      </c>
      <c r="I79" s="7" t="s">
        <v>184</v>
      </c>
    </row>
    <row r="80" spans="1:9" ht="21" customHeight="1">
      <c r="A80" s="7" t="s">
        <v>47</v>
      </c>
      <c r="B80" s="7" t="s">
        <v>498</v>
      </c>
      <c r="C80" s="7" t="s">
        <v>523</v>
      </c>
      <c r="D80" s="7" t="s">
        <v>181</v>
      </c>
      <c r="E80" s="9">
        <v>194</v>
      </c>
      <c r="F80" s="9">
        <v>2</v>
      </c>
      <c r="G80" s="9">
        <v>0</v>
      </c>
      <c r="H80" s="11">
        <v>0</v>
      </c>
      <c r="I80" s="7" t="s">
        <v>498</v>
      </c>
    </row>
    <row r="81" spans="1:9" ht="21" customHeight="1">
      <c r="A81" s="7" t="s">
        <v>47</v>
      </c>
      <c r="B81" s="7" t="s">
        <v>196</v>
      </c>
      <c r="C81" s="7" t="s">
        <v>323</v>
      </c>
      <c r="D81" s="7" t="s">
        <v>181</v>
      </c>
      <c r="E81" s="9">
        <v>639</v>
      </c>
      <c r="F81" s="9">
        <v>16</v>
      </c>
      <c r="G81" s="9">
        <v>0</v>
      </c>
      <c r="H81" s="11">
        <v>0</v>
      </c>
      <c r="I81" s="7" t="s">
        <v>196</v>
      </c>
    </row>
    <row r="82" spans="1:9" ht="21" customHeight="1">
      <c r="A82" s="7" t="s">
        <v>47</v>
      </c>
      <c r="B82" s="7" t="s">
        <v>198</v>
      </c>
      <c r="C82" s="7" t="s">
        <v>496</v>
      </c>
      <c r="D82" s="7" t="s">
        <v>181</v>
      </c>
      <c r="E82" s="9">
        <v>1216</v>
      </c>
      <c r="F82" s="9">
        <v>19</v>
      </c>
      <c r="G82" s="9">
        <v>0</v>
      </c>
      <c r="H82" s="11">
        <v>0</v>
      </c>
      <c r="I82" s="7" t="s">
        <v>198</v>
      </c>
    </row>
    <row r="83" spans="1:9" ht="21" customHeight="1">
      <c r="A83" s="7" t="s">
        <v>47</v>
      </c>
      <c r="B83" s="7" t="s">
        <v>452</v>
      </c>
      <c r="C83" s="7" t="s">
        <v>453</v>
      </c>
      <c r="D83" s="7" t="s">
        <v>181</v>
      </c>
      <c r="E83" s="9">
        <v>169</v>
      </c>
      <c r="F83" s="9">
        <v>1</v>
      </c>
      <c r="G83" s="9">
        <v>0</v>
      </c>
      <c r="H83" s="11">
        <v>0</v>
      </c>
      <c r="I83" s="7" t="s">
        <v>452</v>
      </c>
    </row>
    <row r="84" spans="1:9" ht="21" customHeight="1">
      <c r="A84" s="7" t="s">
        <v>47</v>
      </c>
      <c r="B84" s="7" t="s">
        <v>200</v>
      </c>
      <c r="C84" s="7" t="s">
        <v>454</v>
      </c>
      <c r="D84" s="7" t="s">
        <v>181</v>
      </c>
      <c r="E84" s="9">
        <v>509</v>
      </c>
      <c r="F84" s="9">
        <v>14</v>
      </c>
      <c r="G84" s="9">
        <v>0</v>
      </c>
      <c r="H84" s="11">
        <v>0</v>
      </c>
      <c r="I84" s="7" t="s">
        <v>200</v>
      </c>
    </row>
    <row r="85" spans="1:9" ht="21" customHeight="1">
      <c r="A85" s="7" t="s">
        <v>47</v>
      </c>
      <c r="B85" s="7" t="s">
        <v>188</v>
      </c>
      <c r="C85" s="7" t="s">
        <v>189</v>
      </c>
      <c r="D85" s="7" t="s">
        <v>181</v>
      </c>
      <c r="E85" s="9">
        <v>724</v>
      </c>
      <c r="F85" s="9">
        <v>13</v>
      </c>
      <c r="G85" s="9">
        <v>0</v>
      </c>
      <c r="H85" s="11">
        <v>0</v>
      </c>
      <c r="I85" s="7" t="s">
        <v>188</v>
      </c>
    </row>
    <row r="86" spans="1:9" ht="21" customHeight="1">
      <c r="A86" s="7" t="s">
        <v>47</v>
      </c>
      <c r="B86" s="7" t="s">
        <v>204</v>
      </c>
      <c r="C86" s="7" t="s">
        <v>455</v>
      </c>
      <c r="D86" s="7" t="s">
        <v>181</v>
      </c>
      <c r="E86" s="9">
        <v>881</v>
      </c>
      <c r="F86" s="9">
        <v>19</v>
      </c>
      <c r="G86" s="9">
        <v>0</v>
      </c>
      <c r="H86" s="11">
        <v>0</v>
      </c>
      <c r="I86" s="7" t="s">
        <v>204</v>
      </c>
    </row>
    <row r="87" spans="1:9" ht="21" customHeight="1">
      <c r="A87" s="7" t="s">
        <v>47</v>
      </c>
      <c r="B87" s="7" t="s">
        <v>537</v>
      </c>
      <c r="C87" s="7" t="s">
        <v>538</v>
      </c>
      <c r="D87" s="7" t="s">
        <v>181</v>
      </c>
      <c r="E87" s="9">
        <v>616</v>
      </c>
      <c r="F87" s="9">
        <v>1</v>
      </c>
      <c r="G87" s="9">
        <v>0</v>
      </c>
      <c r="H87" s="11">
        <v>0</v>
      </c>
      <c r="I87" s="7" t="s">
        <v>537</v>
      </c>
    </row>
    <row r="88" spans="1:9" ht="21" customHeight="1">
      <c r="A88" s="7" t="s">
        <v>47</v>
      </c>
      <c r="B88" s="7" t="s">
        <v>206</v>
      </c>
      <c r="C88" s="7" t="s">
        <v>334</v>
      </c>
      <c r="D88" s="7" t="s">
        <v>181</v>
      </c>
      <c r="E88" s="9">
        <v>981</v>
      </c>
      <c r="F88" s="9">
        <v>5</v>
      </c>
      <c r="G88" s="9">
        <v>0</v>
      </c>
      <c r="H88" s="11">
        <v>0</v>
      </c>
      <c r="I88" s="7" t="s">
        <v>206</v>
      </c>
    </row>
    <row r="89" spans="1:9" ht="21" customHeight="1">
      <c r="A89" s="7" t="s">
        <v>48</v>
      </c>
      <c r="B89" s="7" t="s">
        <v>216</v>
      </c>
      <c r="C89" s="7" t="s">
        <v>539</v>
      </c>
      <c r="D89" s="7" t="s">
        <v>61</v>
      </c>
      <c r="E89" s="9">
        <v>79</v>
      </c>
      <c r="F89" s="9">
        <v>1</v>
      </c>
      <c r="G89" s="9">
        <v>1</v>
      </c>
      <c r="H89" s="11">
        <v>19350.000001</v>
      </c>
      <c r="I89" s="7" t="s">
        <v>216</v>
      </c>
    </row>
    <row r="90" spans="1:9" ht="21" customHeight="1">
      <c r="A90" s="7" t="s">
        <v>48</v>
      </c>
      <c r="B90" s="7" t="s">
        <v>230</v>
      </c>
      <c r="C90" s="7" t="s">
        <v>500</v>
      </c>
      <c r="D90" s="7" t="s">
        <v>61</v>
      </c>
      <c r="E90" s="9">
        <v>965</v>
      </c>
      <c r="F90" s="9">
        <v>17</v>
      </c>
      <c r="G90" s="9">
        <v>1</v>
      </c>
      <c r="H90" s="11">
        <v>7199.9999989999997</v>
      </c>
      <c r="I90" s="7" t="s">
        <v>230</v>
      </c>
    </row>
    <row r="91" spans="1:9" ht="21" customHeight="1">
      <c r="A91" s="7" t="s">
        <v>48</v>
      </c>
      <c r="B91" s="7" t="s">
        <v>208</v>
      </c>
      <c r="C91" s="7" t="s">
        <v>457</v>
      </c>
      <c r="D91" s="7" t="s">
        <v>210</v>
      </c>
      <c r="E91" s="9">
        <v>267</v>
      </c>
      <c r="F91" s="9">
        <v>2</v>
      </c>
      <c r="G91" s="9">
        <v>0</v>
      </c>
      <c r="H91" s="11">
        <v>0</v>
      </c>
      <c r="I91" s="7" t="s">
        <v>208</v>
      </c>
    </row>
    <row r="92" spans="1:9" ht="21" customHeight="1">
      <c r="A92" s="7" t="s">
        <v>48</v>
      </c>
      <c r="B92" s="7" t="s">
        <v>211</v>
      </c>
      <c r="C92" s="7" t="s">
        <v>458</v>
      </c>
      <c r="D92" s="7" t="s">
        <v>213</v>
      </c>
      <c r="E92" s="9">
        <v>24</v>
      </c>
      <c r="F92" s="9">
        <v>0</v>
      </c>
      <c r="G92" s="9">
        <v>0</v>
      </c>
      <c r="H92" s="11">
        <v>0</v>
      </c>
      <c r="I92" s="7" t="s">
        <v>211</v>
      </c>
    </row>
    <row r="93" spans="1:9" ht="21" customHeight="1">
      <c r="A93" s="7" t="s">
        <v>48</v>
      </c>
      <c r="B93" s="7" t="s">
        <v>214</v>
      </c>
      <c r="C93" s="7" t="s">
        <v>459</v>
      </c>
      <c r="D93" s="7" t="s">
        <v>213</v>
      </c>
      <c r="E93" s="9">
        <v>1</v>
      </c>
      <c r="F93" s="9">
        <v>0</v>
      </c>
      <c r="G93" s="9">
        <v>0</v>
      </c>
      <c r="H93" s="11">
        <v>0</v>
      </c>
      <c r="I93" s="7" t="s">
        <v>214</v>
      </c>
    </row>
    <row r="94" spans="1:9" ht="21" customHeight="1">
      <c r="A94" s="7" t="s">
        <v>48</v>
      </c>
      <c r="B94" s="7" t="s">
        <v>218</v>
      </c>
      <c r="C94" s="7" t="s">
        <v>502</v>
      </c>
      <c r="D94" s="7" t="s">
        <v>213</v>
      </c>
      <c r="E94" s="9">
        <v>5</v>
      </c>
      <c r="F94" s="9">
        <v>0</v>
      </c>
      <c r="G94" s="9">
        <v>0</v>
      </c>
      <c r="H94" s="11">
        <v>0</v>
      </c>
      <c r="I94" s="7" t="s">
        <v>218</v>
      </c>
    </row>
    <row r="95" spans="1:9" ht="21" customHeight="1">
      <c r="A95" s="7" t="s">
        <v>48</v>
      </c>
      <c r="B95" s="7" t="s">
        <v>220</v>
      </c>
      <c r="C95" s="7" t="s">
        <v>461</v>
      </c>
      <c r="D95" s="7" t="s">
        <v>210</v>
      </c>
      <c r="E95" s="9">
        <v>62</v>
      </c>
      <c r="F95" s="9">
        <v>2</v>
      </c>
      <c r="G95" s="9">
        <v>0</v>
      </c>
      <c r="H95" s="11">
        <v>0</v>
      </c>
      <c r="I95" s="7" t="s">
        <v>220</v>
      </c>
    </row>
    <row r="96" spans="1:9" ht="21" customHeight="1">
      <c r="A96" s="7" t="s">
        <v>48</v>
      </c>
      <c r="B96" s="7" t="s">
        <v>222</v>
      </c>
      <c r="C96" s="7" t="s">
        <v>462</v>
      </c>
      <c r="D96" s="7" t="s">
        <v>210</v>
      </c>
      <c r="E96" s="9">
        <v>235</v>
      </c>
      <c r="F96" s="9">
        <v>7</v>
      </c>
      <c r="G96" s="9">
        <v>0</v>
      </c>
      <c r="H96" s="11">
        <v>0</v>
      </c>
      <c r="I96" s="7" t="s">
        <v>222</v>
      </c>
    </row>
    <row r="97" spans="1:9" ht="21" customHeight="1">
      <c r="A97" s="7" t="s">
        <v>48</v>
      </c>
      <c r="B97" s="7" t="s">
        <v>224</v>
      </c>
      <c r="C97" s="7" t="s">
        <v>503</v>
      </c>
      <c r="D97" s="7" t="s">
        <v>213</v>
      </c>
      <c r="E97" s="9">
        <v>2</v>
      </c>
      <c r="F97" s="9">
        <v>0</v>
      </c>
      <c r="G97" s="9">
        <v>0</v>
      </c>
      <c r="H97" s="11">
        <v>0</v>
      </c>
      <c r="I97" s="7" t="s">
        <v>224</v>
      </c>
    </row>
    <row r="98" spans="1:9" ht="21" customHeight="1">
      <c r="A98" s="7" t="s">
        <v>48</v>
      </c>
      <c r="B98" s="7" t="s">
        <v>226</v>
      </c>
      <c r="C98" s="7" t="s">
        <v>463</v>
      </c>
      <c r="D98" s="7" t="s">
        <v>210</v>
      </c>
      <c r="E98" s="9">
        <v>696</v>
      </c>
      <c r="F98" s="9">
        <v>6</v>
      </c>
      <c r="G98" s="9">
        <v>0</v>
      </c>
      <c r="H98" s="11">
        <v>0</v>
      </c>
      <c r="I98" s="7" t="s">
        <v>226</v>
      </c>
    </row>
    <row r="99" spans="1:9" ht="21" customHeight="1">
      <c r="A99" s="7" t="s">
        <v>48</v>
      </c>
      <c r="B99" s="7" t="s">
        <v>228</v>
      </c>
      <c r="C99" s="7" t="s">
        <v>464</v>
      </c>
      <c r="D99" s="7" t="s">
        <v>210</v>
      </c>
      <c r="E99" s="9">
        <v>645</v>
      </c>
      <c r="F99" s="9">
        <v>11</v>
      </c>
      <c r="G99" s="9">
        <v>0</v>
      </c>
      <c r="H99" s="11">
        <v>0</v>
      </c>
      <c r="I99" s="7" t="s">
        <v>228</v>
      </c>
    </row>
    <row r="100" spans="1:9" ht="21" customHeight="1">
      <c r="A100" s="7" t="s">
        <v>48</v>
      </c>
      <c r="B100" s="7" t="s">
        <v>504</v>
      </c>
      <c r="C100" s="7" t="s">
        <v>505</v>
      </c>
      <c r="D100" s="7" t="s">
        <v>213</v>
      </c>
      <c r="E100" s="9">
        <v>38</v>
      </c>
      <c r="F100" s="9">
        <v>0</v>
      </c>
      <c r="G100" s="9">
        <v>0</v>
      </c>
      <c r="H100" s="11">
        <v>0</v>
      </c>
      <c r="I100" s="7" t="s">
        <v>504</v>
      </c>
    </row>
    <row r="101" spans="1:9" ht="21" customHeight="1">
      <c r="A101" s="7" t="s">
        <v>48</v>
      </c>
      <c r="B101" s="7" t="s">
        <v>346</v>
      </c>
      <c r="C101" s="7" t="s">
        <v>540</v>
      </c>
      <c r="D101" s="7" t="s">
        <v>213</v>
      </c>
      <c r="E101" s="9">
        <v>3</v>
      </c>
      <c r="F101" s="9">
        <v>0</v>
      </c>
      <c r="G101" s="9">
        <v>0</v>
      </c>
      <c r="H101" s="11">
        <v>0</v>
      </c>
      <c r="I101" s="7" t="s">
        <v>346</v>
      </c>
    </row>
    <row r="102" spans="1:9" ht="21" customHeight="1">
      <c r="A102" s="7" t="s">
        <v>48</v>
      </c>
      <c r="B102" s="7" t="s">
        <v>232</v>
      </c>
      <c r="C102" s="7" t="s">
        <v>506</v>
      </c>
      <c r="D102" s="7" t="s">
        <v>61</v>
      </c>
      <c r="E102" s="9">
        <v>1759</v>
      </c>
      <c r="F102" s="9">
        <v>24</v>
      </c>
      <c r="G102" s="9">
        <v>0</v>
      </c>
      <c r="H102" s="11">
        <v>0</v>
      </c>
      <c r="I102" s="7" t="s">
        <v>232</v>
      </c>
    </row>
    <row r="103" spans="1:9" ht="21" customHeight="1">
      <c r="A103" s="7" t="s">
        <v>48</v>
      </c>
      <c r="B103" s="7" t="s">
        <v>234</v>
      </c>
      <c r="C103" s="7" t="s">
        <v>466</v>
      </c>
      <c r="D103" s="7" t="s">
        <v>61</v>
      </c>
      <c r="E103" s="9">
        <v>27</v>
      </c>
      <c r="F103" s="9">
        <v>0</v>
      </c>
      <c r="G103" s="9">
        <v>0</v>
      </c>
      <c r="H103" s="11">
        <v>0</v>
      </c>
      <c r="I103" s="7" t="s">
        <v>234</v>
      </c>
    </row>
    <row r="104" spans="1:9" ht="21" customHeight="1">
      <c r="A104" s="7" t="s">
        <v>48</v>
      </c>
      <c r="B104" s="7" t="s">
        <v>236</v>
      </c>
      <c r="C104" s="7" t="s">
        <v>467</v>
      </c>
      <c r="D104" s="7" t="s">
        <v>213</v>
      </c>
      <c r="E104" s="9">
        <v>10</v>
      </c>
      <c r="F104" s="9">
        <v>0</v>
      </c>
      <c r="G104" s="9">
        <v>0</v>
      </c>
      <c r="H104" s="11">
        <v>0</v>
      </c>
      <c r="I104" s="7" t="s">
        <v>236</v>
      </c>
    </row>
    <row r="105" spans="1:9" ht="21" customHeight="1">
      <c r="A105" s="7" t="s">
        <v>48</v>
      </c>
      <c r="B105" s="7" t="s">
        <v>238</v>
      </c>
      <c r="C105" s="7" t="s">
        <v>468</v>
      </c>
      <c r="D105" s="7" t="s">
        <v>61</v>
      </c>
      <c r="E105" s="9">
        <v>269</v>
      </c>
      <c r="F105" s="9">
        <v>3</v>
      </c>
      <c r="G105" s="9">
        <v>0</v>
      </c>
      <c r="H105" s="11">
        <v>0</v>
      </c>
      <c r="I105" s="7" t="s">
        <v>238</v>
      </c>
    </row>
    <row r="106" spans="1:9" ht="21" customHeight="1">
      <c r="A106" s="7" t="s">
        <v>49</v>
      </c>
      <c r="B106" s="7" t="s">
        <v>243</v>
      </c>
      <c r="C106" s="7" t="s">
        <v>528</v>
      </c>
      <c r="D106" s="7" t="s">
        <v>242</v>
      </c>
      <c r="E106" s="9">
        <v>1</v>
      </c>
      <c r="F106" s="9">
        <v>0</v>
      </c>
      <c r="G106" s="9">
        <v>0</v>
      </c>
      <c r="H106" s="11">
        <v>0</v>
      </c>
      <c r="I106" s="7" t="s">
        <v>243</v>
      </c>
    </row>
    <row r="107" spans="1:9" ht="21" customHeight="1">
      <c r="A107" s="7" t="s">
        <v>50</v>
      </c>
      <c r="B107" s="7" t="s">
        <v>251</v>
      </c>
      <c r="C107" s="7" t="s">
        <v>252</v>
      </c>
      <c r="D107" s="7" t="s">
        <v>250</v>
      </c>
      <c r="E107" s="9">
        <v>1</v>
      </c>
      <c r="F107" s="9">
        <v>0</v>
      </c>
      <c r="G107" s="9">
        <v>2</v>
      </c>
      <c r="H107" s="11">
        <v>0</v>
      </c>
      <c r="I107" s="7" t="s">
        <v>251</v>
      </c>
    </row>
    <row r="108" spans="1:9" ht="21" customHeight="1">
      <c r="A108" s="7" t="s">
        <v>50</v>
      </c>
      <c r="B108" s="7" t="s">
        <v>255</v>
      </c>
      <c r="C108" s="7" t="s">
        <v>511</v>
      </c>
      <c r="D108" s="7" t="s">
        <v>250</v>
      </c>
      <c r="E108" s="9">
        <v>20</v>
      </c>
      <c r="F108" s="9">
        <v>0</v>
      </c>
      <c r="G108" s="9">
        <v>13</v>
      </c>
      <c r="H108" s="11">
        <v>0</v>
      </c>
      <c r="I108" s="7" t="s">
        <v>255</v>
      </c>
    </row>
    <row r="109" spans="1:9" ht="21" customHeight="1">
      <c r="A109" s="7" t="s">
        <v>51</v>
      </c>
      <c r="B109" s="7" t="s">
        <v>257</v>
      </c>
      <c r="C109" s="7" t="s">
        <v>471</v>
      </c>
      <c r="D109" s="7" t="s">
        <v>259</v>
      </c>
      <c r="E109" s="9">
        <v>98</v>
      </c>
      <c r="F109" s="9">
        <v>0</v>
      </c>
      <c r="G109" s="9">
        <v>0</v>
      </c>
      <c r="H109" s="11">
        <v>0</v>
      </c>
      <c r="I109" s="7" t="s">
        <v>257</v>
      </c>
    </row>
    <row r="110" spans="1:9" ht="21" customHeight="1">
      <c r="A110" s="7" t="s">
        <v>52</v>
      </c>
      <c r="B110" s="7" t="s">
        <v>416</v>
      </c>
      <c r="C110" s="7" t="s">
        <v>472</v>
      </c>
      <c r="D110" s="7" t="s">
        <v>262</v>
      </c>
      <c r="E110" s="9">
        <v>4</v>
      </c>
      <c r="F110" s="9">
        <v>0</v>
      </c>
      <c r="G110" s="9">
        <v>0</v>
      </c>
      <c r="H110" s="11">
        <v>0</v>
      </c>
      <c r="I110" s="7" t="s">
        <v>416</v>
      </c>
    </row>
    <row r="111" spans="1:9" ht="21" customHeight="1">
      <c r="A111" s="7" t="s">
        <v>52</v>
      </c>
      <c r="B111" s="7" t="s">
        <v>260</v>
      </c>
      <c r="C111" s="7" t="s">
        <v>417</v>
      </c>
      <c r="D111" s="7" t="s">
        <v>262</v>
      </c>
      <c r="E111" s="9">
        <v>2272</v>
      </c>
      <c r="F111" s="9">
        <v>0</v>
      </c>
      <c r="G111" s="9">
        <v>0</v>
      </c>
      <c r="H111" s="11">
        <v>0</v>
      </c>
      <c r="I111" s="7" t="s">
        <v>260</v>
      </c>
    </row>
    <row r="112" spans="1:9" ht="21" customHeight="1">
      <c r="A112" s="7" t="s">
        <v>52</v>
      </c>
      <c r="B112" s="7" t="s">
        <v>263</v>
      </c>
      <c r="C112" s="7" t="s">
        <v>513</v>
      </c>
      <c r="D112" s="7" t="s">
        <v>262</v>
      </c>
      <c r="E112" s="9">
        <v>1116</v>
      </c>
      <c r="F112" s="9">
        <v>0</v>
      </c>
      <c r="G112" s="9">
        <v>0</v>
      </c>
      <c r="H112" s="11">
        <v>0</v>
      </c>
      <c r="I112" s="7" t="s">
        <v>263</v>
      </c>
    </row>
    <row r="113" spans="1:9" ht="21" customHeight="1">
      <c r="A113" s="7" t="s">
        <v>52</v>
      </c>
      <c r="B113" s="7" t="s">
        <v>265</v>
      </c>
      <c r="C113" s="7" t="s">
        <v>419</v>
      </c>
      <c r="D113" s="7" t="s">
        <v>262</v>
      </c>
      <c r="E113" s="9">
        <v>557</v>
      </c>
      <c r="F113" s="9">
        <v>13</v>
      </c>
      <c r="G113" s="9">
        <v>0</v>
      </c>
      <c r="H113" s="11">
        <v>0</v>
      </c>
      <c r="I113" s="7" t="s">
        <v>265</v>
      </c>
    </row>
    <row r="114" spans="1:9" ht="21" customHeight="1">
      <c r="A114" s="7" t="s">
        <v>52</v>
      </c>
      <c r="B114" s="7" t="s">
        <v>267</v>
      </c>
      <c r="C114" s="7" t="s">
        <v>473</v>
      </c>
      <c r="D114" s="7" t="s">
        <v>262</v>
      </c>
      <c r="E114" s="9">
        <v>2</v>
      </c>
      <c r="F114" s="9">
        <v>0</v>
      </c>
      <c r="G114" s="9">
        <v>0</v>
      </c>
      <c r="H114" s="11">
        <v>0</v>
      </c>
      <c r="I114" s="7" t="s">
        <v>267</v>
      </c>
    </row>
    <row r="115" spans="1:9" ht="21" customHeight="1">
      <c r="A115" s="7" t="s">
        <v>52</v>
      </c>
      <c r="B115" s="7" t="s">
        <v>268</v>
      </c>
      <c r="C115" s="7" t="s">
        <v>514</v>
      </c>
      <c r="D115" s="7" t="s">
        <v>262</v>
      </c>
      <c r="E115" s="9">
        <v>19</v>
      </c>
      <c r="F115" s="9">
        <v>0</v>
      </c>
      <c r="G115" s="9">
        <v>0</v>
      </c>
      <c r="H115" s="11">
        <v>0</v>
      </c>
      <c r="I115" s="7" t="s">
        <v>268</v>
      </c>
    </row>
    <row r="116" spans="1:9" ht="21" customHeight="1">
      <c r="A116" s="7" t="s">
        <v>52</v>
      </c>
      <c r="B116" s="7" t="s">
        <v>269</v>
      </c>
      <c r="C116" s="7" t="s">
        <v>421</v>
      </c>
      <c r="D116" s="7" t="s">
        <v>262</v>
      </c>
      <c r="E116" s="9">
        <v>228</v>
      </c>
      <c r="F116" s="9">
        <v>0</v>
      </c>
      <c r="G116" s="9">
        <v>0</v>
      </c>
      <c r="H116" s="11">
        <v>0</v>
      </c>
      <c r="I116" s="7" t="s">
        <v>269</v>
      </c>
    </row>
    <row r="117" spans="1:9" ht="21" customHeight="1">
      <c r="A117" s="7" t="s">
        <v>52</v>
      </c>
      <c r="B117" s="7" t="s">
        <v>271</v>
      </c>
      <c r="C117" s="7" t="s">
        <v>475</v>
      </c>
      <c r="D117" s="7" t="s">
        <v>262</v>
      </c>
      <c r="E117" s="9">
        <v>150</v>
      </c>
      <c r="F117" s="9">
        <v>0</v>
      </c>
      <c r="G117" s="9">
        <v>0</v>
      </c>
      <c r="H117" s="11">
        <v>0</v>
      </c>
      <c r="I117" s="7" t="s">
        <v>271</v>
      </c>
    </row>
    <row r="118" spans="1:9" ht="21" customHeight="1">
      <c r="A118" s="7" t="s">
        <v>52</v>
      </c>
      <c r="B118" s="7" t="s">
        <v>273</v>
      </c>
      <c r="C118" s="7" t="s">
        <v>541</v>
      </c>
      <c r="D118" s="7" t="s">
        <v>262</v>
      </c>
      <c r="E118" s="9">
        <v>1792</v>
      </c>
      <c r="F118" s="9">
        <v>9</v>
      </c>
      <c r="G118" s="9">
        <v>0</v>
      </c>
      <c r="H118" s="11">
        <v>0</v>
      </c>
      <c r="I118" s="7" t="s">
        <v>273</v>
      </c>
    </row>
    <row r="119" spans="1:9" ht="21" customHeight="1">
      <c r="A119" s="7" t="s">
        <v>52</v>
      </c>
      <c r="B119" s="7" t="s">
        <v>275</v>
      </c>
      <c r="C119" s="7" t="s">
        <v>477</v>
      </c>
      <c r="D119" s="7" t="s">
        <v>262</v>
      </c>
      <c r="E119" s="9">
        <v>58</v>
      </c>
      <c r="F119" s="9">
        <v>0</v>
      </c>
      <c r="G119" s="9">
        <v>0</v>
      </c>
      <c r="H119" s="11">
        <v>0</v>
      </c>
      <c r="I119" s="7" t="s">
        <v>275</v>
      </c>
    </row>
    <row r="120" spans="1:9" ht="21" customHeight="1">
      <c r="A120" s="7" t="s">
        <v>52</v>
      </c>
      <c r="B120" s="7" t="s">
        <v>277</v>
      </c>
      <c r="C120" s="7" t="s">
        <v>478</v>
      </c>
      <c r="D120" s="7" t="s">
        <v>262</v>
      </c>
      <c r="E120" s="9">
        <v>372</v>
      </c>
      <c r="F120" s="9">
        <v>0</v>
      </c>
      <c r="G120" s="9">
        <v>0</v>
      </c>
      <c r="H120" s="11">
        <v>0</v>
      </c>
      <c r="I120" s="7" t="s">
        <v>277</v>
      </c>
    </row>
    <row r="121" spans="1:9" ht="21" customHeight="1">
      <c r="A121" s="7" t="s">
        <v>52</v>
      </c>
      <c r="B121" s="7" t="s">
        <v>279</v>
      </c>
      <c r="C121" s="7" t="s">
        <v>479</v>
      </c>
      <c r="D121" s="7" t="s">
        <v>262</v>
      </c>
      <c r="E121" s="9">
        <v>155</v>
      </c>
      <c r="F121" s="9">
        <v>0</v>
      </c>
      <c r="G121" s="9">
        <v>0</v>
      </c>
      <c r="H121" s="11">
        <v>0</v>
      </c>
      <c r="I121" s="7" t="s">
        <v>279</v>
      </c>
    </row>
    <row r="122" spans="1:9" ht="21" customHeight="1">
      <c r="A122" s="7" t="s">
        <v>52</v>
      </c>
      <c r="B122" s="7" t="s">
        <v>280</v>
      </c>
      <c r="C122" s="7" t="s">
        <v>533</v>
      </c>
      <c r="D122" s="7" t="s">
        <v>262</v>
      </c>
      <c r="E122" s="9">
        <v>9</v>
      </c>
      <c r="F122" s="9">
        <v>0</v>
      </c>
      <c r="G122" s="9">
        <v>0</v>
      </c>
      <c r="H122" s="11">
        <v>0</v>
      </c>
      <c r="I122" s="7" t="s">
        <v>280</v>
      </c>
    </row>
    <row r="123" spans="1:9" ht="21" customHeight="1">
      <c r="A123" s="7" t="s">
        <v>52</v>
      </c>
      <c r="B123" s="7" t="s">
        <v>281</v>
      </c>
      <c r="C123" s="7" t="s">
        <v>424</v>
      </c>
      <c r="D123" s="7" t="s">
        <v>262</v>
      </c>
      <c r="E123" s="9">
        <v>1</v>
      </c>
      <c r="F123" s="9">
        <v>0</v>
      </c>
      <c r="G123" s="9">
        <v>0</v>
      </c>
      <c r="H123" s="11">
        <v>0</v>
      </c>
      <c r="I123" s="7" t="s">
        <v>281</v>
      </c>
    </row>
    <row r="124" spans="1:9" ht="21" customHeight="1">
      <c r="A124" s="7" t="s">
        <v>52</v>
      </c>
      <c r="B124" s="7" t="s">
        <v>482</v>
      </c>
      <c r="C124" s="7" t="s">
        <v>483</v>
      </c>
      <c r="D124" s="7" t="s">
        <v>262</v>
      </c>
      <c r="E124" s="9">
        <v>2</v>
      </c>
      <c r="F124" s="9">
        <v>0</v>
      </c>
      <c r="G124" s="9">
        <v>0</v>
      </c>
      <c r="H124" s="11">
        <v>0</v>
      </c>
      <c r="I124" s="7" t="s">
        <v>482</v>
      </c>
    </row>
    <row r="125" spans="1:9" ht="21" customHeight="1">
      <c r="A125" s="7" t="s">
        <v>52</v>
      </c>
      <c r="B125" s="7" t="s">
        <v>283</v>
      </c>
      <c r="C125" s="7" t="s">
        <v>484</v>
      </c>
      <c r="D125" s="7" t="s">
        <v>262</v>
      </c>
      <c r="E125" s="9">
        <v>383</v>
      </c>
      <c r="F125" s="9">
        <v>0</v>
      </c>
      <c r="G125" s="9">
        <v>0</v>
      </c>
      <c r="H125" s="11">
        <v>0</v>
      </c>
      <c r="I125" s="7" t="s">
        <v>283</v>
      </c>
    </row>
    <row r="126" spans="1:9" ht="21" customHeight="1">
      <c r="A126" s="7" t="s">
        <v>52</v>
      </c>
      <c r="B126" s="7" t="s">
        <v>285</v>
      </c>
      <c r="C126" s="7" t="s">
        <v>542</v>
      </c>
      <c r="D126" s="7" t="s">
        <v>262</v>
      </c>
      <c r="E126" s="9">
        <v>2</v>
      </c>
      <c r="F126" s="9">
        <v>0</v>
      </c>
      <c r="G126" s="9">
        <v>0</v>
      </c>
      <c r="H126" s="11">
        <v>0</v>
      </c>
      <c r="I126" s="7" t="s">
        <v>285</v>
      </c>
    </row>
    <row r="127" spans="1:9" ht="21" customHeight="1">
      <c r="A127" s="7" t="s">
        <v>52</v>
      </c>
      <c r="B127" s="7" t="s">
        <v>286</v>
      </c>
      <c r="C127" s="7" t="s">
        <v>426</v>
      </c>
      <c r="D127" s="7" t="s">
        <v>262</v>
      </c>
      <c r="E127" s="9">
        <v>38</v>
      </c>
      <c r="F127" s="9">
        <v>0</v>
      </c>
      <c r="G127" s="9">
        <v>0</v>
      </c>
      <c r="H127" s="11">
        <v>0</v>
      </c>
      <c r="I127" s="7" t="s">
        <v>286</v>
      </c>
    </row>
    <row r="128" spans="1:9" ht="21" customHeight="1">
      <c r="A128" s="8" t="s">
        <v>52</v>
      </c>
      <c r="B128" s="8" t="s">
        <v>427</v>
      </c>
      <c r="C128" s="8" t="s">
        <v>543</v>
      </c>
      <c r="D128" s="8" t="s">
        <v>262</v>
      </c>
      <c r="E128" s="10">
        <v>6</v>
      </c>
      <c r="F128" s="10">
        <v>0</v>
      </c>
      <c r="G128" s="10">
        <v>0</v>
      </c>
      <c r="H128" s="12">
        <v>0</v>
      </c>
      <c r="I128" s="8" t="s">
        <v>427</v>
      </c>
    </row>
    <row r="130" spans="1:8">
      <c r="A130" s="21" t="s">
        <v>288</v>
      </c>
      <c r="B130" s="22"/>
      <c r="C130" s="22"/>
      <c r="D130" s="22"/>
      <c r="E130" s="13">
        <f>SUM(E6:E128)</f>
        <v>975320</v>
      </c>
      <c r="F130" s="13">
        <f>SUM(F6:F128)</f>
        <v>49139</v>
      </c>
      <c r="G130" s="13">
        <f>SUM(G6:G128)</f>
        <v>1125</v>
      </c>
      <c r="H130" s="14">
        <f>SUM(H6:H128)</f>
        <v>2119102.5848050006</v>
      </c>
    </row>
  </sheetData>
  <mergeCells count="1">
    <mergeCell ref="A130:D130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CA3AF"/>
  </sheetPr>
  <dimension ref="A1:I1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29" customWidth="1"/>
    <col min="2" max="2" width="31" customWidth="1"/>
    <col min="3" max="3" width="48" customWidth="1"/>
    <col min="4" max="4" width="29" customWidth="1"/>
    <col min="5" max="7" width="17" customWidth="1"/>
    <col min="8" max="8" width="20" customWidth="1"/>
    <col min="9" max="9" width="38" customWidth="1"/>
  </cols>
  <sheetData>
    <row r="1" spans="1:9" ht="8" customHeight="1"/>
    <row r="2" spans="1:9" ht="19">
      <c r="A2" s="1" t="s">
        <v>544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545</v>
      </c>
    </row>
    <row r="5" spans="1:9" ht="30" customHeight="1">
      <c r="A5" s="4" t="s">
        <v>35</v>
      </c>
      <c r="B5" s="5" t="s">
        <v>55</v>
      </c>
      <c r="C5" s="5" t="s">
        <v>56</v>
      </c>
      <c r="D5" s="5" t="s">
        <v>57</v>
      </c>
      <c r="E5" s="5" t="s">
        <v>36</v>
      </c>
      <c r="F5" s="5" t="s">
        <v>37</v>
      </c>
      <c r="G5" s="5" t="s">
        <v>38</v>
      </c>
      <c r="H5" s="5" t="s">
        <v>39</v>
      </c>
      <c r="I5" s="6" t="s">
        <v>58</v>
      </c>
    </row>
    <row r="6" spans="1:9" ht="21" customHeight="1">
      <c r="A6" s="7" t="s">
        <v>41</v>
      </c>
      <c r="B6" s="7" t="s">
        <v>59</v>
      </c>
      <c r="C6" s="7" t="s">
        <v>60</v>
      </c>
      <c r="D6" s="7" t="s">
        <v>61</v>
      </c>
      <c r="E6" s="9">
        <v>276995</v>
      </c>
      <c r="F6" s="9">
        <v>16914</v>
      </c>
      <c r="G6" s="9">
        <v>339</v>
      </c>
      <c r="H6" s="11">
        <v>632769.67453399999</v>
      </c>
      <c r="I6" s="7" t="s">
        <v>59</v>
      </c>
    </row>
    <row r="7" spans="1:9" ht="21" customHeight="1">
      <c r="A7" s="7" t="s">
        <v>41</v>
      </c>
      <c r="B7" s="7" t="s">
        <v>62</v>
      </c>
      <c r="C7" s="7" t="s">
        <v>63</v>
      </c>
      <c r="D7" s="7" t="s">
        <v>61</v>
      </c>
      <c r="E7" s="9">
        <v>179368</v>
      </c>
      <c r="F7" s="9">
        <v>7181</v>
      </c>
      <c r="G7" s="9">
        <v>75</v>
      </c>
      <c r="H7" s="11">
        <v>415470.93285099999</v>
      </c>
      <c r="I7" s="7" t="s">
        <v>62</v>
      </c>
    </row>
    <row r="8" spans="1:9" ht="21" customHeight="1">
      <c r="A8" s="7" t="s">
        <v>41</v>
      </c>
      <c r="B8" s="7" t="s">
        <v>64</v>
      </c>
      <c r="C8" s="7" t="s">
        <v>65</v>
      </c>
      <c r="D8" s="7" t="s">
        <v>61</v>
      </c>
      <c r="E8" s="9">
        <v>183460</v>
      </c>
      <c r="F8" s="9">
        <v>7752</v>
      </c>
      <c r="G8" s="9">
        <v>51</v>
      </c>
      <c r="H8" s="11">
        <v>294789.84820299997</v>
      </c>
      <c r="I8" s="7" t="s">
        <v>64</v>
      </c>
    </row>
    <row r="9" spans="1:9" ht="21" customHeight="1">
      <c r="A9" s="7" t="s">
        <v>41</v>
      </c>
      <c r="B9" s="7" t="s">
        <v>66</v>
      </c>
      <c r="C9" s="7" t="s">
        <v>67</v>
      </c>
      <c r="D9" s="7" t="s">
        <v>61</v>
      </c>
      <c r="E9" s="9">
        <v>44914</v>
      </c>
      <c r="F9" s="9">
        <v>2269</v>
      </c>
      <c r="G9" s="9">
        <v>50</v>
      </c>
      <c r="H9" s="11">
        <v>124357.211616</v>
      </c>
      <c r="I9" s="7" t="s">
        <v>66</v>
      </c>
    </row>
    <row r="10" spans="1:9" ht="21" customHeight="1">
      <c r="A10" s="7" t="s">
        <v>41</v>
      </c>
      <c r="B10" s="7" t="s">
        <v>68</v>
      </c>
      <c r="C10" s="7" t="s">
        <v>69</v>
      </c>
      <c r="D10" s="7" t="s">
        <v>61</v>
      </c>
      <c r="E10" s="9">
        <v>92211</v>
      </c>
      <c r="F10" s="9">
        <v>4664</v>
      </c>
      <c r="G10" s="9">
        <v>22</v>
      </c>
      <c r="H10" s="11">
        <v>72252.800006999998</v>
      </c>
      <c r="I10" s="7" t="s">
        <v>68</v>
      </c>
    </row>
    <row r="11" spans="1:9" ht="21" customHeight="1">
      <c r="A11" s="7" t="s">
        <v>41</v>
      </c>
      <c r="B11" s="7" t="s">
        <v>70</v>
      </c>
      <c r="C11" s="7" t="s">
        <v>71</v>
      </c>
      <c r="D11" s="7" t="s">
        <v>61</v>
      </c>
      <c r="E11" s="9">
        <v>17029</v>
      </c>
      <c r="F11" s="9">
        <v>691</v>
      </c>
      <c r="G11" s="9">
        <v>27</v>
      </c>
      <c r="H11" s="11">
        <v>48515.003835000003</v>
      </c>
      <c r="I11" s="7" t="s">
        <v>70</v>
      </c>
    </row>
    <row r="12" spans="1:9" ht="21" customHeight="1">
      <c r="A12" s="7" t="s">
        <v>41</v>
      </c>
      <c r="B12" s="7" t="s">
        <v>72</v>
      </c>
      <c r="C12" s="7" t="s">
        <v>73</v>
      </c>
      <c r="D12" s="7" t="s">
        <v>61</v>
      </c>
      <c r="E12" s="9">
        <v>12347</v>
      </c>
      <c r="F12" s="9">
        <v>566</v>
      </c>
      <c r="G12" s="9">
        <v>6</v>
      </c>
      <c r="H12" s="11">
        <v>19429.999994000002</v>
      </c>
      <c r="I12" s="7" t="s">
        <v>72</v>
      </c>
    </row>
    <row r="13" spans="1:9" ht="21" customHeight="1">
      <c r="A13" s="7" t="s">
        <v>42</v>
      </c>
      <c r="B13" s="7" t="s">
        <v>82</v>
      </c>
      <c r="C13" s="7" t="s">
        <v>83</v>
      </c>
      <c r="D13" s="7" t="s">
        <v>61</v>
      </c>
      <c r="E13" s="9">
        <v>14278</v>
      </c>
      <c r="F13" s="9">
        <v>1200</v>
      </c>
      <c r="G13" s="9">
        <v>50</v>
      </c>
      <c r="H13" s="11">
        <v>32803.020509000002</v>
      </c>
      <c r="I13" s="7" t="s">
        <v>82</v>
      </c>
    </row>
    <row r="14" spans="1:9" ht="21" customHeight="1">
      <c r="A14" s="7" t="s">
        <v>42</v>
      </c>
      <c r="B14" s="7" t="s">
        <v>76</v>
      </c>
      <c r="C14" s="7" t="s">
        <v>487</v>
      </c>
      <c r="D14" s="7" t="s">
        <v>61</v>
      </c>
      <c r="E14" s="9">
        <v>17664</v>
      </c>
      <c r="F14" s="9">
        <v>998</v>
      </c>
      <c r="G14" s="9">
        <v>45</v>
      </c>
      <c r="H14" s="11">
        <v>20291.771002000001</v>
      </c>
      <c r="I14" s="7" t="s">
        <v>76</v>
      </c>
    </row>
    <row r="15" spans="1:9" ht="21" customHeight="1">
      <c r="A15" s="7" t="s">
        <v>42</v>
      </c>
      <c r="B15" s="7" t="s">
        <v>84</v>
      </c>
      <c r="C15" s="7" t="s">
        <v>85</v>
      </c>
      <c r="D15" s="7" t="s">
        <v>61</v>
      </c>
      <c r="E15" s="9">
        <v>1459</v>
      </c>
      <c r="F15" s="9">
        <v>61</v>
      </c>
      <c r="G15" s="9">
        <v>2</v>
      </c>
      <c r="H15" s="11">
        <v>18899.999997999999</v>
      </c>
      <c r="I15" s="7" t="s">
        <v>84</v>
      </c>
    </row>
    <row r="16" spans="1:9" ht="21" customHeight="1">
      <c r="A16" s="7" t="s">
        <v>42</v>
      </c>
      <c r="B16" s="7" t="s">
        <v>78</v>
      </c>
      <c r="C16" s="7" t="s">
        <v>79</v>
      </c>
      <c r="D16" s="7" t="s">
        <v>61</v>
      </c>
      <c r="E16" s="9">
        <v>17396</v>
      </c>
      <c r="F16" s="9">
        <v>961</v>
      </c>
      <c r="G16" s="9">
        <v>44</v>
      </c>
      <c r="H16" s="11">
        <v>17589.535638000001</v>
      </c>
      <c r="I16" s="7" t="s">
        <v>78</v>
      </c>
    </row>
    <row r="17" spans="1:9" ht="21" customHeight="1">
      <c r="A17" s="7" t="s">
        <v>42</v>
      </c>
      <c r="B17" s="7" t="s">
        <v>90</v>
      </c>
      <c r="C17" s="7" t="s">
        <v>91</v>
      </c>
      <c r="D17" s="7" t="s">
        <v>61</v>
      </c>
      <c r="E17" s="9">
        <v>11505</v>
      </c>
      <c r="F17" s="9">
        <v>612</v>
      </c>
      <c r="G17" s="9">
        <v>22</v>
      </c>
      <c r="H17" s="11">
        <v>17100.223383</v>
      </c>
      <c r="I17" s="7" t="s">
        <v>90</v>
      </c>
    </row>
    <row r="18" spans="1:9" ht="21" customHeight="1">
      <c r="A18" s="7" t="s">
        <v>42</v>
      </c>
      <c r="B18" s="7" t="s">
        <v>74</v>
      </c>
      <c r="C18" s="7" t="s">
        <v>536</v>
      </c>
      <c r="D18" s="7" t="s">
        <v>61</v>
      </c>
      <c r="E18" s="9">
        <v>17165</v>
      </c>
      <c r="F18" s="9">
        <v>740</v>
      </c>
      <c r="G18" s="9">
        <v>29</v>
      </c>
      <c r="H18" s="11">
        <v>16926.714389000001</v>
      </c>
      <c r="I18" s="7" t="s">
        <v>74</v>
      </c>
    </row>
    <row r="19" spans="1:9" ht="21" customHeight="1">
      <c r="A19" s="7" t="s">
        <v>42</v>
      </c>
      <c r="B19" s="7" t="s">
        <v>88</v>
      </c>
      <c r="C19" s="7" t="s">
        <v>488</v>
      </c>
      <c r="D19" s="7" t="s">
        <v>61</v>
      </c>
      <c r="E19" s="9">
        <v>12825</v>
      </c>
      <c r="F19" s="9">
        <v>648</v>
      </c>
      <c r="G19" s="9">
        <v>27</v>
      </c>
      <c r="H19" s="11">
        <v>9045.3799949999993</v>
      </c>
      <c r="I19" s="7" t="s">
        <v>88</v>
      </c>
    </row>
    <row r="20" spans="1:9" ht="21" customHeight="1">
      <c r="A20" s="7" t="s">
        <v>42</v>
      </c>
      <c r="B20" s="7" t="s">
        <v>92</v>
      </c>
      <c r="C20" s="7" t="s">
        <v>491</v>
      </c>
      <c r="D20" s="7" t="s">
        <v>61</v>
      </c>
      <c r="E20" s="9">
        <v>12167</v>
      </c>
      <c r="F20" s="9">
        <v>431</v>
      </c>
      <c r="G20" s="9">
        <v>10</v>
      </c>
      <c r="H20" s="11">
        <v>7884.8537210000004</v>
      </c>
      <c r="I20" s="7" t="s">
        <v>92</v>
      </c>
    </row>
    <row r="21" spans="1:9" ht="21" customHeight="1">
      <c r="A21" s="7" t="s">
        <v>42</v>
      </c>
      <c r="B21" s="7" t="s">
        <v>86</v>
      </c>
      <c r="C21" s="7" t="s">
        <v>490</v>
      </c>
      <c r="D21" s="7" t="s">
        <v>61</v>
      </c>
      <c r="E21" s="9">
        <v>5962</v>
      </c>
      <c r="F21" s="9">
        <v>354</v>
      </c>
      <c r="G21" s="9">
        <v>20</v>
      </c>
      <c r="H21" s="11">
        <v>7245.132662</v>
      </c>
      <c r="I21" s="7" t="s">
        <v>86</v>
      </c>
    </row>
    <row r="22" spans="1:9" ht="21" customHeight="1">
      <c r="A22" s="7" t="s">
        <v>42</v>
      </c>
      <c r="B22" s="7" t="s">
        <v>80</v>
      </c>
      <c r="C22" s="7" t="s">
        <v>81</v>
      </c>
      <c r="D22" s="7" t="s">
        <v>61</v>
      </c>
      <c r="E22" s="9">
        <v>6335</v>
      </c>
      <c r="F22" s="9">
        <v>299</v>
      </c>
      <c r="G22" s="9">
        <v>4</v>
      </c>
      <c r="H22" s="11">
        <v>6800.0000010000003</v>
      </c>
      <c r="I22" s="7" t="s">
        <v>80</v>
      </c>
    </row>
    <row r="23" spans="1:9" ht="21" customHeight="1">
      <c r="A23" s="7" t="s">
        <v>42</v>
      </c>
      <c r="B23" s="7" t="s">
        <v>96</v>
      </c>
      <c r="C23" s="7" t="s">
        <v>97</v>
      </c>
      <c r="D23" s="7" t="s">
        <v>61</v>
      </c>
      <c r="E23" s="9">
        <v>2037</v>
      </c>
      <c r="F23" s="9">
        <v>138</v>
      </c>
      <c r="G23" s="9">
        <v>1</v>
      </c>
      <c r="H23" s="11">
        <v>2834.9999990000001</v>
      </c>
      <c r="I23" s="7" t="s">
        <v>96</v>
      </c>
    </row>
    <row r="24" spans="1:9" ht="21" customHeight="1">
      <c r="A24" s="7" t="s">
        <v>42</v>
      </c>
      <c r="B24" s="7" t="s">
        <v>98</v>
      </c>
      <c r="C24" s="7" t="s">
        <v>430</v>
      </c>
      <c r="D24" s="7" t="s">
        <v>61</v>
      </c>
      <c r="E24" s="9">
        <v>3718</v>
      </c>
      <c r="F24" s="9">
        <v>157</v>
      </c>
      <c r="G24" s="9">
        <v>4</v>
      </c>
      <c r="H24" s="11">
        <v>2587.5000030000001</v>
      </c>
      <c r="I24" s="7" t="s">
        <v>98</v>
      </c>
    </row>
    <row r="25" spans="1:9" ht="21" customHeight="1">
      <c r="A25" s="7" t="s">
        <v>42</v>
      </c>
      <c r="B25" s="7" t="s">
        <v>94</v>
      </c>
      <c r="C25" s="7" t="s">
        <v>95</v>
      </c>
      <c r="D25" s="7" t="s">
        <v>61</v>
      </c>
      <c r="E25" s="9">
        <v>3673</v>
      </c>
      <c r="F25" s="9">
        <v>164</v>
      </c>
      <c r="G25" s="9">
        <v>1</v>
      </c>
      <c r="H25" s="11">
        <v>1675.000002</v>
      </c>
      <c r="I25" s="7" t="s">
        <v>94</v>
      </c>
    </row>
    <row r="26" spans="1:9" ht="21" customHeight="1">
      <c r="A26" s="7" t="s">
        <v>42</v>
      </c>
      <c r="B26" s="7" t="s">
        <v>100</v>
      </c>
      <c r="C26" s="7" t="s">
        <v>431</v>
      </c>
      <c r="D26" s="7" t="s">
        <v>61</v>
      </c>
      <c r="E26" s="9">
        <v>1096</v>
      </c>
      <c r="F26" s="9">
        <v>50</v>
      </c>
      <c r="G26" s="9">
        <v>0</v>
      </c>
      <c r="H26" s="11">
        <v>0</v>
      </c>
      <c r="I26" s="7" t="s">
        <v>100</v>
      </c>
    </row>
    <row r="27" spans="1:9" ht="21" customHeight="1">
      <c r="A27" s="7" t="s">
        <v>42</v>
      </c>
      <c r="B27" s="7" t="s">
        <v>102</v>
      </c>
      <c r="C27" s="7" t="s">
        <v>298</v>
      </c>
      <c r="D27" s="7" t="s">
        <v>61</v>
      </c>
      <c r="E27" s="9">
        <v>104</v>
      </c>
      <c r="F27" s="9">
        <v>0</v>
      </c>
      <c r="G27" s="9">
        <v>0</v>
      </c>
      <c r="H27" s="11">
        <v>0</v>
      </c>
      <c r="I27" s="7" t="s">
        <v>102</v>
      </c>
    </row>
    <row r="28" spans="1:9" ht="21" customHeight="1">
      <c r="A28" s="7" t="s">
        <v>42</v>
      </c>
      <c r="B28" s="7" t="s">
        <v>104</v>
      </c>
      <c r="C28" s="7" t="s">
        <v>300</v>
      </c>
      <c r="D28" s="7" t="s">
        <v>61</v>
      </c>
      <c r="E28" s="9">
        <v>489</v>
      </c>
      <c r="F28" s="9">
        <v>23</v>
      </c>
      <c r="G28" s="9">
        <v>0</v>
      </c>
      <c r="H28" s="11">
        <v>0</v>
      </c>
      <c r="I28" s="7" t="s">
        <v>104</v>
      </c>
    </row>
    <row r="29" spans="1:9" ht="21" customHeight="1">
      <c r="A29" s="7" t="s">
        <v>42</v>
      </c>
      <c r="B29" s="7" t="s">
        <v>106</v>
      </c>
      <c r="C29" s="7" t="s">
        <v>432</v>
      </c>
      <c r="D29" s="7" t="s">
        <v>61</v>
      </c>
      <c r="E29" s="9">
        <v>21</v>
      </c>
      <c r="F29" s="9">
        <v>0</v>
      </c>
      <c r="G29" s="9">
        <v>0</v>
      </c>
      <c r="H29" s="11">
        <v>0</v>
      </c>
      <c r="I29" s="7" t="s">
        <v>106</v>
      </c>
    </row>
    <row r="30" spans="1:9" ht="21" customHeight="1">
      <c r="A30" s="7" t="s">
        <v>42</v>
      </c>
      <c r="B30" s="7" t="s">
        <v>108</v>
      </c>
      <c r="C30" s="7" t="s">
        <v>293</v>
      </c>
      <c r="D30" s="7" t="s">
        <v>61</v>
      </c>
      <c r="E30" s="9">
        <v>179</v>
      </c>
      <c r="F30" s="9">
        <v>0</v>
      </c>
      <c r="G30" s="9">
        <v>0</v>
      </c>
      <c r="H30" s="11">
        <v>0</v>
      </c>
      <c r="I30" s="7" t="s">
        <v>108</v>
      </c>
    </row>
    <row r="31" spans="1:9" ht="21" customHeight="1">
      <c r="A31" s="7" t="s">
        <v>42</v>
      </c>
      <c r="B31" s="7" t="s">
        <v>110</v>
      </c>
      <c r="C31" s="7" t="s">
        <v>433</v>
      </c>
      <c r="D31" s="7" t="s">
        <v>61</v>
      </c>
      <c r="E31" s="9">
        <v>22</v>
      </c>
      <c r="F31" s="9">
        <v>0</v>
      </c>
      <c r="G31" s="9">
        <v>0</v>
      </c>
      <c r="H31" s="11">
        <v>0</v>
      </c>
      <c r="I31" s="7" t="s">
        <v>110</v>
      </c>
    </row>
    <row r="32" spans="1:9" ht="21" customHeight="1">
      <c r="A32" s="7" t="s">
        <v>42</v>
      </c>
      <c r="B32" s="7" t="s">
        <v>112</v>
      </c>
      <c r="C32" s="7" t="s">
        <v>294</v>
      </c>
      <c r="D32" s="7" t="s">
        <v>61</v>
      </c>
      <c r="E32" s="9">
        <v>626</v>
      </c>
      <c r="F32" s="9">
        <v>11</v>
      </c>
      <c r="G32" s="9">
        <v>0</v>
      </c>
      <c r="H32" s="11">
        <v>0</v>
      </c>
      <c r="I32" s="7" t="s">
        <v>112</v>
      </c>
    </row>
    <row r="33" spans="1:9" ht="21" customHeight="1">
      <c r="A33" s="7" t="s">
        <v>42</v>
      </c>
      <c r="B33" s="7" t="s">
        <v>114</v>
      </c>
      <c r="C33" s="7" t="s">
        <v>518</v>
      </c>
      <c r="D33" s="7" t="s">
        <v>61</v>
      </c>
      <c r="E33" s="9">
        <v>13</v>
      </c>
      <c r="F33" s="9">
        <v>0</v>
      </c>
      <c r="G33" s="9">
        <v>0</v>
      </c>
      <c r="H33" s="11">
        <v>0</v>
      </c>
      <c r="I33" s="7" t="s">
        <v>114</v>
      </c>
    </row>
    <row r="34" spans="1:9" ht="21" customHeight="1">
      <c r="A34" s="7" t="s">
        <v>42</v>
      </c>
      <c r="B34" s="7" t="s">
        <v>116</v>
      </c>
      <c r="C34" s="7" t="s">
        <v>434</v>
      </c>
      <c r="D34" s="7" t="s">
        <v>61</v>
      </c>
      <c r="E34" s="9">
        <v>76</v>
      </c>
      <c r="F34" s="9">
        <v>0</v>
      </c>
      <c r="G34" s="9">
        <v>0</v>
      </c>
      <c r="H34" s="11">
        <v>0</v>
      </c>
      <c r="I34" s="7" t="s">
        <v>116</v>
      </c>
    </row>
    <row r="35" spans="1:9" ht="21" customHeight="1">
      <c r="A35" s="7" t="s">
        <v>43</v>
      </c>
      <c r="B35" s="7" t="s">
        <v>117</v>
      </c>
      <c r="C35" s="7" t="s">
        <v>492</v>
      </c>
      <c r="D35" s="7" t="s">
        <v>61</v>
      </c>
      <c r="E35" s="9">
        <v>20951</v>
      </c>
      <c r="F35" s="9">
        <v>731</v>
      </c>
      <c r="G35" s="9">
        <v>23</v>
      </c>
      <c r="H35" s="11">
        <v>19929.999997999999</v>
      </c>
      <c r="I35" s="7" t="s">
        <v>117</v>
      </c>
    </row>
    <row r="36" spans="1:9" ht="21" customHeight="1">
      <c r="A36" s="7" t="s">
        <v>43</v>
      </c>
      <c r="B36" s="7" t="s">
        <v>121</v>
      </c>
      <c r="C36" s="7" t="s">
        <v>122</v>
      </c>
      <c r="D36" s="7" t="s">
        <v>61</v>
      </c>
      <c r="E36" s="9">
        <v>15008</v>
      </c>
      <c r="F36" s="9">
        <v>738</v>
      </c>
      <c r="G36" s="9">
        <v>46</v>
      </c>
      <c r="H36" s="11">
        <v>15380.443515999999</v>
      </c>
      <c r="I36" s="7" t="s">
        <v>121</v>
      </c>
    </row>
    <row r="37" spans="1:9" ht="21" customHeight="1">
      <c r="A37" s="7" t="s">
        <v>43</v>
      </c>
      <c r="B37" s="7" t="s">
        <v>119</v>
      </c>
      <c r="C37" s="7" t="s">
        <v>435</v>
      </c>
      <c r="D37" s="7" t="s">
        <v>61</v>
      </c>
      <c r="E37" s="9">
        <v>12846</v>
      </c>
      <c r="F37" s="9">
        <v>509</v>
      </c>
      <c r="G37" s="9">
        <v>14</v>
      </c>
      <c r="H37" s="11">
        <v>8603.5000010000003</v>
      </c>
      <c r="I37" s="7" t="s">
        <v>119</v>
      </c>
    </row>
    <row r="38" spans="1:9" ht="21" customHeight="1">
      <c r="A38" s="7" t="s">
        <v>43</v>
      </c>
      <c r="B38" s="7" t="s">
        <v>436</v>
      </c>
      <c r="C38" s="7" t="s">
        <v>437</v>
      </c>
      <c r="D38" s="7" t="s">
        <v>61</v>
      </c>
      <c r="E38" s="9">
        <v>7122</v>
      </c>
      <c r="F38" s="9">
        <v>542</v>
      </c>
      <c r="G38" s="9">
        <v>22</v>
      </c>
      <c r="H38" s="11">
        <v>8062.1859869999998</v>
      </c>
      <c r="I38" s="7" t="s">
        <v>436</v>
      </c>
    </row>
    <row r="39" spans="1:9" ht="21" customHeight="1">
      <c r="A39" s="7" t="s">
        <v>44</v>
      </c>
      <c r="B39" s="7" t="s">
        <v>125</v>
      </c>
      <c r="C39" s="7" t="s">
        <v>126</v>
      </c>
      <c r="D39" s="7" t="s">
        <v>61</v>
      </c>
      <c r="E39" s="9">
        <v>6813</v>
      </c>
      <c r="F39" s="9">
        <v>416</v>
      </c>
      <c r="G39" s="9">
        <v>6</v>
      </c>
      <c r="H39" s="11">
        <v>14724.999992999999</v>
      </c>
      <c r="I39" s="7" t="s">
        <v>125</v>
      </c>
    </row>
    <row r="40" spans="1:9" ht="21" customHeight="1">
      <c r="A40" s="7" t="s">
        <v>44</v>
      </c>
      <c r="B40" s="7" t="s">
        <v>127</v>
      </c>
      <c r="C40" s="7" t="s">
        <v>128</v>
      </c>
      <c r="D40" s="7" t="s">
        <v>61</v>
      </c>
      <c r="E40" s="9">
        <v>5428</v>
      </c>
      <c r="F40" s="9">
        <v>247</v>
      </c>
      <c r="G40" s="9">
        <v>5</v>
      </c>
      <c r="H40" s="11">
        <v>7452.4999969999999</v>
      </c>
      <c r="I40" s="7" t="s">
        <v>127</v>
      </c>
    </row>
    <row r="41" spans="1:9" ht="21" customHeight="1">
      <c r="A41" s="7" t="s">
        <v>44</v>
      </c>
      <c r="B41" s="7" t="s">
        <v>123</v>
      </c>
      <c r="C41" s="7" t="s">
        <v>124</v>
      </c>
      <c r="D41" s="7" t="s">
        <v>61</v>
      </c>
      <c r="E41" s="9">
        <v>1226</v>
      </c>
      <c r="F41" s="9">
        <v>60</v>
      </c>
      <c r="G41" s="9">
        <v>1</v>
      </c>
      <c r="H41" s="11">
        <v>4844.9999989999997</v>
      </c>
      <c r="I41" s="7" t="s">
        <v>123</v>
      </c>
    </row>
    <row r="42" spans="1:9" ht="21" customHeight="1">
      <c r="A42" s="7" t="s">
        <v>44</v>
      </c>
      <c r="B42" s="7" t="s">
        <v>131</v>
      </c>
      <c r="C42" s="7" t="s">
        <v>306</v>
      </c>
      <c r="D42" s="7" t="s">
        <v>61</v>
      </c>
      <c r="E42" s="9">
        <v>1857</v>
      </c>
      <c r="F42" s="9">
        <v>117</v>
      </c>
      <c r="G42" s="9">
        <v>15</v>
      </c>
      <c r="H42" s="11">
        <v>3712.4999889999999</v>
      </c>
      <c r="I42" s="7" t="s">
        <v>131</v>
      </c>
    </row>
    <row r="43" spans="1:9" ht="21" customHeight="1">
      <c r="A43" s="7" t="s">
        <v>44</v>
      </c>
      <c r="B43" s="7" t="s">
        <v>133</v>
      </c>
      <c r="C43" s="7" t="s">
        <v>307</v>
      </c>
      <c r="D43" s="7" t="s">
        <v>61</v>
      </c>
      <c r="E43" s="9">
        <v>1403</v>
      </c>
      <c r="F43" s="9">
        <v>59</v>
      </c>
      <c r="G43" s="9">
        <v>1</v>
      </c>
      <c r="H43" s="11">
        <v>3172.4999990000001</v>
      </c>
      <c r="I43" s="7" t="s">
        <v>133</v>
      </c>
    </row>
    <row r="44" spans="1:9" ht="21" customHeight="1">
      <c r="A44" s="7" t="s">
        <v>44</v>
      </c>
      <c r="B44" s="7" t="s">
        <v>135</v>
      </c>
      <c r="C44" s="7" t="s">
        <v>305</v>
      </c>
      <c r="D44" s="7" t="s">
        <v>61</v>
      </c>
      <c r="E44" s="9">
        <v>1264</v>
      </c>
      <c r="F44" s="9">
        <v>62</v>
      </c>
      <c r="G44" s="9">
        <v>6</v>
      </c>
      <c r="H44" s="11">
        <v>1445.084654</v>
      </c>
      <c r="I44" s="7" t="s">
        <v>135</v>
      </c>
    </row>
    <row r="45" spans="1:9" ht="21" customHeight="1">
      <c r="A45" s="7" t="s">
        <v>44</v>
      </c>
      <c r="B45" s="7" t="s">
        <v>129</v>
      </c>
      <c r="C45" s="7" t="s">
        <v>130</v>
      </c>
      <c r="D45" s="7" t="s">
        <v>61</v>
      </c>
      <c r="E45" s="9">
        <v>3891</v>
      </c>
      <c r="F45" s="9">
        <v>114</v>
      </c>
      <c r="G45" s="9">
        <v>1</v>
      </c>
      <c r="H45" s="11">
        <v>1055.7000009999999</v>
      </c>
      <c r="I45" s="7" t="s">
        <v>129</v>
      </c>
    </row>
    <row r="46" spans="1:9" ht="21" customHeight="1">
      <c r="A46" s="7" t="s">
        <v>45</v>
      </c>
      <c r="B46" s="7" t="s">
        <v>139</v>
      </c>
      <c r="C46" s="7" t="s">
        <v>140</v>
      </c>
      <c r="D46" s="7" t="s">
        <v>61</v>
      </c>
      <c r="E46" s="9">
        <v>28431</v>
      </c>
      <c r="F46" s="9">
        <v>1817</v>
      </c>
      <c r="G46" s="9">
        <v>110</v>
      </c>
      <c r="H46" s="11">
        <v>27834.25</v>
      </c>
      <c r="I46" s="7" t="s">
        <v>139</v>
      </c>
    </row>
    <row r="47" spans="1:9" ht="21" customHeight="1">
      <c r="A47" s="7" t="s">
        <v>45</v>
      </c>
      <c r="B47" s="7" t="s">
        <v>143</v>
      </c>
      <c r="C47" s="7" t="s">
        <v>144</v>
      </c>
      <c r="D47" s="7" t="s">
        <v>61</v>
      </c>
      <c r="E47" s="9">
        <v>3445</v>
      </c>
      <c r="F47" s="9">
        <v>144</v>
      </c>
      <c r="G47" s="9">
        <v>3</v>
      </c>
      <c r="H47" s="11">
        <v>1166.5</v>
      </c>
      <c r="I47" s="7" t="s">
        <v>143</v>
      </c>
    </row>
    <row r="48" spans="1:9" ht="21" customHeight="1">
      <c r="A48" s="7" t="s">
        <v>45</v>
      </c>
      <c r="B48" s="7" t="s">
        <v>147</v>
      </c>
      <c r="C48" s="7" t="s">
        <v>308</v>
      </c>
      <c r="D48" s="7" t="s">
        <v>61</v>
      </c>
      <c r="E48" s="9">
        <v>74</v>
      </c>
      <c r="F48" s="9">
        <v>0</v>
      </c>
      <c r="G48" s="9">
        <v>0</v>
      </c>
      <c r="H48" s="11">
        <v>0</v>
      </c>
      <c r="I48" s="7" t="s">
        <v>147</v>
      </c>
    </row>
    <row r="49" spans="1:9" ht="21" customHeight="1">
      <c r="A49" s="7" t="s">
        <v>45</v>
      </c>
      <c r="B49" s="7" t="s">
        <v>141</v>
      </c>
      <c r="C49" s="7" t="s">
        <v>142</v>
      </c>
      <c r="D49" s="7" t="s">
        <v>61</v>
      </c>
      <c r="E49" s="9">
        <v>1596</v>
      </c>
      <c r="F49" s="9">
        <v>29</v>
      </c>
      <c r="G49" s="9">
        <v>0</v>
      </c>
      <c r="H49" s="11">
        <v>0</v>
      </c>
      <c r="I49" s="7" t="s">
        <v>141</v>
      </c>
    </row>
    <row r="50" spans="1:9" ht="21" customHeight="1">
      <c r="A50" s="7" t="s">
        <v>45</v>
      </c>
      <c r="B50" s="7" t="s">
        <v>149</v>
      </c>
      <c r="C50" s="7" t="s">
        <v>438</v>
      </c>
      <c r="D50" s="7" t="s">
        <v>151</v>
      </c>
      <c r="E50" s="9">
        <v>32</v>
      </c>
      <c r="F50" s="9">
        <v>0</v>
      </c>
      <c r="G50" s="9">
        <v>0</v>
      </c>
      <c r="H50" s="11">
        <v>0</v>
      </c>
      <c r="I50" s="7" t="s">
        <v>439</v>
      </c>
    </row>
    <row r="51" spans="1:9" ht="21" customHeight="1">
      <c r="A51" s="7" t="s">
        <v>45</v>
      </c>
      <c r="B51" s="7" t="s">
        <v>153</v>
      </c>
      <c r="C51" s="7" t="s">
        <v>312</v>
      </c>
      <c r="D51" s="7" t="s">
        <v>61</v>
      </c>
      <c r="E51" s="9">
        <v>136</v>
      </c>
      <c r="F51" s="9">
        <v>0</v>
      </c>
      <c r="G51" s="9">
        <v>0</v>
      </c>
      <c r="H51" s="11">
        <v>0</v>
      </c>
      <c r="I51" s="7" t="s">
        <v>153</v>
      </c>
    </row>
    <row r="52" spans="1:9" ht="21" customHeight="1">
      <c r="A52" s="7" t="s">
        <v>45</v>
      </c>
      <c r="B52" s="7" t="s">
        <v>313</v>
      </c>
      <c r="C52" s="7" t="s">
        <v>314</v>
      </c>
      <c r="D52" s="7" t="s">
        <v>210</v>
      </c>
      <c r="E52" s="9">
        <v>451</v>
      </c>
      <c r="F52" s="9">
        <v>6</v>
      </c>
      <c r="G52" s="9">
        <v>0</v>
      </c>
      <c r="H52" s="11">
        <v>0</v>
      </c>
      <c r="I52" s="7" t="s">
        <v>313</v>
      </c>
    </row>
    <row r="53" spans="1:9" ht="21" customHeight="1">
      <c r="A53" s="7" t="s">
        <v>45</v>
      </c>
      <c r="B53" s="7" t="s">
        <v>137</v>
      </c>
      <c r="C53" s="7" t="s">
        <v>138</v>
      </c>
      <c r="D53" s="7" t="s">
        <v>61</v>
      </c>
      <c r="E53" s="9">
        <v>4047</v>
      </c>
      <c r="F53" s="9">
        <v>118</v>
      </c>
      <c r="G53" s="9">
        <v>0</v>
      </c>
      <c r="H53" s="11">
        <v>0</v>
      </c>
      <c r="I53" s="7" t="s">
        <v>137</v>
      </c>
    </row>
    <row r="54" spans="1:9" ht="21" customHeight="1">
      <c r="A54" s="7" t="s">
        <v>45</v>
      </c>
      <c r="B54" s="7" t="s">
        <v>145</v>
      </c>
      <c r="C54" s="7" t="s">
        <v>146</v>
      </c>
      <c r="D54" s="7" t="s">
        <v>61</v>
      </c>
      <c r="E54" s="9">
        <v>289</v>
      </c>
      <c r="F54" s="9">
        <v>9</v>
      </c>
      <c r="G54" s="9">
        <v>0</v>
      </c>
      <c r="H54" s="11">
        <v>0</v>
      </c>
      <c r="I54" s="7" t="s">
        <v>145</v>
      </c>
    </row>
    <row r="55" spans="1:9" ht="21" customHeight="1">
      <c r="A55" s="7" t="s">
        <v>45</v>
      </c>
      <c r="B55" s="7" t="s">
        <v>155</v>
      </c>
      <c r="C55" s="7" t="s">
        <v>315</v>
      </c>
      <c r="D55" s="7" t="s">
        <v>61</v>
      </c>
      <c r="E55" s="9">
        <v>753</v>
      </c>
      <c r="F55" s="9">
        <v>0</v>
      </c>
      <c r="G55" s="9">
        <v>0</v>
      </c>
      <c r="H55" s="11">
        <v>0</v>
      </c>
      <c r="I55" s="7" t="s">
        <v>155</v>
      </c>
    </row>
    <row r="56" spans="1:9" ht="21" customHeight="1">
      <c r="A56" s="7" t="s">
        <v>45</v>
      </c>
      <c r="B56" s="7" t="s">
        <v>157</v>
      </c>
      <c r="C56" s="7" t="s">
        <v>440</v>
      </c>
      <c r="D56" s="7" t="s">
        <v>61</v>
      </c>
      <c r="E56" s="9">
        <v>91</v>
      </c>
      <c r="F56" s="9">
        <v>0</v>
      </c>
      <c r="G56" s="9">
        <v>0</v>
      </c>
      <c r="H56" s="11">
        <v>0</v>
      </c>
      <c r="I56" s="7" t="s">
        <v>157</v>
      </c>
    </row>
    <row r="57" spans="1:9" ht="21" customHeight="1">
      <c r="A57" s="7" t="s">
        <v>45</v>
      </c>
      <c r="B57" s="7" t="s">
        <v>441</v>
      </c>
      <c r="C57" s="7" t="s">
        <v>442</v>
      </c>
      <c r="D57" s="7" t="s">
        <v>61</v>
      </c>
      <c r="E57" s="9">
        <v>1846</v>
      </c>
      <c r="F57" s="9">
        <v>45</v>
      </c>
      <c r="G57" s="9">
        <v>0</v>
      </c>
      <c r="H57" s="11">
        <v>0</v>
      </c>
      <c r="I57" s="7" t="s">
        <v>441</v>
      </c>
    </row>
    <row r="58" spans="1:9" ht="21" customHeight="1">
      <c r="A58" s="7" t="s">
        <v>45</v>
      </c>
      <c r="B58" s="7" t="s">
        <v>159</v>
      </c>
      <c r="C58" s="7" t="s">
        <v>316</v>
      </c>
      <c r="D58" s="7" t="s">
        <v>61</v>
      </c>
      <c r="E58" s="9">
        <v>198</v>
      </c>
      <c r="F58" s="9">
        <v>0</v>
      </c>
      <c r="G58" s="9">
        <v>0</v>
      </c>
      <c r="H58" s="11">
        <v>0</v>
      </c>
      <c r="I58" s="7" t="s">
        <v>159</v>
      </c>
    </row>
    <row r="59" spans="1:9" ht="21" customHeight="1">
      <c r="A59" s="7" t="s">
        <v>45</v>
      </c>
      <c r="B59" s="7" t="s">
        <v>160</v>
      </c>
      <c r="C59" s="7" t="s">
        <v>443</v>
      </c>
      <c r="D59" s="7" t="s">
        <v>61</v>
      </c>
      <c r="E59" s="9">
        <v>71</v>
      </c>
      <c r="F59" s="9">
        <v>1</v>
      </c>
      <c r="G59" s="9">
        <v>0</v>
      </c>
      <c r="H59" s="11">
        <v>0</v>
      </c>
      <c r="I59" s="7" t="s">
        <v>160</v>
      </c>
    </row>
    <row r="60" spans="1:9" ht="21" customHeight="1">
      <c r="A60" s="7" t="s">
        <v>45</v>
      </c>
      <c r="B60" s="7" t="s">
        <v>162</v>
      </c>
      <c r="C60" s="7" t="s">
        <v>309</v>
      </c>
      <c r="D60" s="7" t="s">
        <v>61</v>
      </c>
      <c r="E60" s="9">
        <v>47</v>
      </c>
      <c r="F60" s="9">
        <v>0</v>
      </c>
      <c r="G60" s="9">
        <v>0</v>
      </c>
      <c r="H60" s="11">
        <v>0</v>
      </c>
      <c r="I60" s="7" t="s">
        <v>162</v>
      </c>
    </row>
    <row r="61" spans="1:9" ht="21" customHeight="1">
      <c r="A61" s="7" t="s">
        <v>45</v>
      </c>
      <c r="B61" s="7" t="s">
        <v>164</v>
      </c>
      <c r="C61" s="7" t="s">
        <v>317</v>
      </c>
      <c r="D61" s="7" t="s">
        <v>61</v>
      </c>
      <c r="E61" s="9">
        <v>884</v>
      </c>
      <c r="F61" s="9">
        <v>29</v>
      </c>
      <c r="G61" s="9">
        <v>0</v>
      </c>
      <c r="H61" s="11">
        <v>0</v>
      </c>
      <c r="I61" s="7" t="s">
        <v>164</v>
      </c>
    </row>
    <row r="62" spans="1:9" ht="21" customHeight="1">
      <c r="A62" s="7" t="s">
        <v>45</v>
      </c>
      <c r="B62" s="7" t="s">
        <v>166</v>
      </c>
      <c r="C62" s="7" t="s">
        <v>318</v>
      </c>
      <c r="D62" s="7" t="s">
        <v>61</v>
      </c>
      <c r="E62" s="9">
        <v>73</v>
      </c>
      <c r="F62" s="9">
        <v>0</v>
      </c>
      <c r="G62" s="9">
        <v>0</v>
      </c>
      <c r="H62" s="11">
        <v>0</v>
      </c>
      <c r="I62" s="7" t="s">
        <v>166</v>
      </c>
    </row>
    <row r="63" spans="1:9" ht="21" customHeight="1">
      <c r="A63" s="7" t="s">
        <v>45</v>
      </c>
      <c r="B63" s="7" t="s">
        <v>168</v>
      </c>
      <c r="C63" s="7" t="s">
        <v>494</v>
      </c>
      <c r="D63" s="7" t="s">
        <v>61</v>
      </c>
      <c r="E63" s="9">
        <v>486</v>
      </c>
      <c r="F63" s="9">
        <v>16</v>
      </c>
      <c r="G63" s="9">
        <v>0</v>
      </c>
      <c r="H63" s="11">
        <v>0</v>
      </c>
      <c r="I63" s="7" t="s">
        <v>169</v>
      </c>
    </row>
    <row r="64" spans="1:9" ht="21" customHeight="1">
      <c r="A64" s="7" t="s">
        <v>46</v>
      </c>
      <c r="B64" s="7" t="s">
        <v>171</v>
      </c>
      <c r="C64" s="7" t="s">
        <v>172</v>
      </c>
      <c r="D64" s="7" t="s">
        <v>61</v>
      </c>
      <c r="E64" s="9">
        <v>13763</v>
      </c>
      <c r="F64" s="9">
        <v>231</v>
      </c>
      <c r="G64" s="9">
        <v>15</v>
      </c>
      <c r="H64" s="11">
        <v>16260.000004</v>
      </c>
      <c r="I64" s="7" t="s">
        <v>171</v>
      </c>
    </row>
    <row r="65" spans="1:9" ht="21" customHeight="1">
      <c r="A65" s="7" t="s">
        <v>46</v>
      </c>
      <c r="B65" s="7" t="s">
        <v>173</v>
      </c>
      <c r="C65" s="7" t="s">
        <v>445</v>
      </c>
      <c r="D65" s="7" t="s">
        <v>61</v>
      </c>
      <c r="E65" s="9">
        <v>1194</v>
      </c>
      <c r="F65" s="9">
        <v>18</v>
      </c>
      <c r="G65" s="9">
        <v>3</v>
      </c>
      <c r="H65" s="11">
        <v>5100.0000019999998</v>
      </c>
      <c r="I65" s="7" t="s">
        <v>173</v>
      </c>
    </row>
    <row r="66" spans="1:9" ht="21" customHeight="1">
      <c r="A66" s="7" t="s">
        <v>46</v>
      </c>
      <c r="B66" s="7" t="s">
        <v>175</v>
      </c>
      <c r="C66" s="7" t="s">
        <v>176</v>
      </c>
      <c r="D66" s="7" t="s">
        <v>61</v>
      </c>
      <c r="E66" s="9">
        <v>4269</v>
      </c>
      <c r="F66" s="9">
        <v>77</v>
      </c>
      <c r="G66" s="9">
        <v>6</v>
      </c>
      <c r="H66" s="11">
        <v>2775.0000070000001</v>
      </c>
      <c r="I66" s="7" t="s">
        <v>175</v>
      </c>
    </row>
    <row r="67" spans="1:9" ht="21" customHeight="1">
      <c r="A67" s="7" t="s">
        <v>46</v>
      </c>
      <c r="B67" s="7" t="s">
        <v>177</v>
      </c>
      <c r="C67" s="7" t="s">
        <v>178</v>
      </c>
      <c r="D67" s="7" t="s">
        <v>61</v>
      </c>
      <c r="E67" s="9">
        <v>606</v>
      </c>
      <c r="F67" s="9">
        <v>17</v>
      </c>
      <c r="G67" s="9">
        <v>6</v>
      </c>
      <c r="H67" s="11">
        <v>1784.8789730000001</v>
      </c>
      <c r="I67" s="7" t="s">
        <v>177</v>
      </c>
    </row>
    <row r="68" spans="1:9" ht="21" customHeight="1">
      <c r="A68" s="7" t="s">
        <v>46</v>
      </c>
      <c r="B68" s="7" t="s">
        <v>320</v>
      </c>
      <c r="C68" s="7" t="s">
        <v>321</v>
      </c>
      <c r="D68" s="7" t="s">
        <v>61</v>
      </c>
      <c r="E68" s="9">
        <v>576</v>
      </c>
      <c r="F68" s="9">
        <v>10</v>
      </c>
      <c r="G68" s="9">
        <v>0</v>
      </c>
      <c r="H68" s="11">
        <v>0</v>
      </c>
      <c r="I68" s="7" t="s">
        <v>320</v>
      </c>
    </row>
    <row r="69" spans="1:9" ht="21" customHeight="1">
      <c r="A69" s="7" t="s">
        <v>47</v>
      </c>
      <c r="B69" s="7" t="s">
        <v>186</v>
      </c>
      <c r="C69" s="7" t="s">
        <v>333</v>
      </c>
      <c r="D69" s="7" t="s">
        <v>181</v>
      </c>
      <c r="E69" s="9">
        <v>1520</v>
      </c>
      <c r="F69" s="9">
        <v>53</v>
      </c>
      <c r="G69" s="9">
        <v>6</v>
      </c>
      <c r="H69" s="11">
        <v>2104.9999950000001</v>
      </c>
      <c r="I69" s="7" t="s">
        <v>186</v>
      </c>
    </row>
    <row r="70" spans="1:9" ht="21" customHeight="1">
      <c r="A70" s="7" t="s">
        <v>47</v>
      </c>
      <c r="B70" s="7" t="s">
        <v>198</v>
      </c>
      <c r="C70" s="7" t="s">
        <v>496</v>
      </c>
      <c r="D70" s="7" t="s">
        <v>181</v>
      </c>
      <c r="E70" s="9">
        <v>1755</v>
      </c>
      <c r="F70" s="9">
        <v>14</v>
      </c>
      <c r="G70" s="9">
        <v>1</v>
      </c>
      <c r="H70" s="11">
        <v>910.35999900000002</v>
      </c>
      <c r="I70" s="7" t="s">
        <v>198</v>
      </c>
    </row>
    <row r="71" spans="1:9" ht="21" customHeight="1">
      <c r="A71" s="7" t="s">
        <v>47</v>
      </c>
      <c r="B71" s="7" t="s">
        <v>196</v>
      </c>
      <c r="C71" s="7" t="s">
        <v>323</v>
      </c>
      <c r="D71" s="7" t="s">
        <v>181</v>
      </c>
      <c r="E71" s="9">
        <v>682</v>
      </c>
      <c r="F71" s="9">
        <v>27</v>
      </c>
      <c r="G71" s="9">
        <v>1</v>
      </c>
      <c r="H71" s="11">
        <v>467.64000099999998</v>
      </c>
      <c r="I71" s="7" t="s">
        <v>196</v>
      </c>
    </row>
    <row r="72" spans="1:9" ht="21" customHeight="1">
      <c r="A72" s="7" t="s">
        <v>47</v>
      </c>
      <c r="B72" s="7" t="s">
        <v>194</v>
      </c>
      <c r="C72" s="7" t="s">
        <v>331</v>
      </c>
      <c r="D72" s="7" t="s">
        <v>181</v>
      </c>
      <c r="E72" s="9">
        <v>953</v>
      </c>
      <c r="F72" s="9">
        <v>12</v>
      </c>
      <c r="G72" s="9">
        <v>1</v>
      </c>
      <c r="H72" s="11">
        <v>172.500001</v>
      </c>
      <c r="I72" s="7" t="s">
        <v>194</v>
      </c>
    </row>
    <row r="73" spans="1:9" ht="21" customHeight="1">
      <c r="A73" s="7" t="s">
        <v>47</v>
      </c>
      <c r="B73" s="7" t="s">
        <v>204</v>
      </c>
      <c r="C73" s="7" t="s">
        <v>455</v>
      </c>
      <c r="D73" s="7" t="s">
        <v>181</v>
      </c>
      <c r="E73" s="9">
        <v>788</v>
      </c>
      <c r="F73" s="9">
        <v>7</v>
      </c>
      <c r="G73" s="9">
        <v>1</v>
      </c>
      <c r="H73" s="11">
        <v>147.5</v>
      </c>
      <c r="I73" s="7" t="s">
        <v>204</v>
      </c>
    </row>
    <row r="74" spans="1:9" ht="21" customHeight="1">
      <c r="A74" s="7" t="s">
        <v>47</v>
      </c>
      <c r="B74" s="7" t="s">
        <v>182</v>
      </c>
      <c r="C74" s="7" t="s">
        <v>446</v>
      </c>
      <c r="D74" s="7" t="s">
        <v>181</v>
      </c>
      <c r="E74" s="9">
        <v>1351</v>
      </c>
      <c r="F74" s="9">
        <v>7</v>
      </c>
      <c r="G74" s="9">
        <v>0</v>
      </c>
      <c r="H74" s="11">
        <v>0</v>
      </c>
      <c r="I74" s="7" t="s">
        <v>182</v>
      </c>
    </row>
    <row r="75" spans="1:9" ht="21" customHeight="1">
      <c r="A75" s="7" t="s">
        <v>47</v>
      </c>
      <c r="B75" s="7" t="s">
        <v>447</v>
      </c>
      <c r="C75" s="7" t="s">
        <v>448</v>
      </c>
      <c r="D75" s="7" t="s">
        <v>181</v>
      </c>
      <c r="E75" s="9">
        <v>342</v>
      </c>
      <c r="F75" s="9">
        <v>1</v>
      </c>
      <c r="G75" s="9">
        <v>0</v>
      </c>
      <c r="H75" s="11">
        <v>0</v>
      </c>
      <c r="I75" s="7" t="s">
        <v>447</v>
      </c>
    </row>
    <row r="76" spans="1:9" ht="21" customHeight="1">
      <c r="A76" s="7" t="s">
        <v>47</v>
      </c>
      <c r="B76" s="7" t="s">
        <v>179</v>
      </c>
      <c r="C76" s="7" t="s">
        <v>520</v>
      </c>
      <c r="D76" s="7" t="s">
        <v>181</v>
      </c>
      <c r="E76" s="9">
        <v>584</v>
      </c>
      <c r="F76" s="9">
        <v>31</v>
      </c>
      <c r="G76" s="9">
        <v>0</v>
      </c>
      <c r="H76" s="11">
        <v>0</v>
      </c>
      <c r="I76" s="7" t="s">
        <v>179</v>
      </c>
    </row>
    <row r="77" spans="1:9" ht="21" customHeight="1">
      <c r="A77" s="7" t="s">
        <v>47</v>
      </c>
      <c r="B77" s="7" t="s">
        <v>190</v>
      </c>
      <c r="C77" s="7" t="s">
        <v>330</v>
      </c>
      <c r="D77" s="7" t="s">
        <v>181</v>
      </c>
      <c r="E77" s="9">
        <v>395</v>
      </c>
      <c r="F77" s="9">
        <v>2</v>
      </c>
      <c r="G77" s="9">
        <v>0</v>
      </c>
      <c r="H77" s="11">
        <v>0</v>
      </c>
      <c r="I77" s="7" t="s">
        <v>190</v>
      </c>
    </row>
    <row r="78" spans="1:9" ht="21" customHeight="1">
      <c r="A78" s="7" t="s">
        <v>47</v>
      </c>
      <c r="B78" s="7" t="s">
        <v>192</v>
      </c>
      <c r="C78" s="7" t="s">
        <v>449</v>
      </c>
      <c r="D78" s="7" t="s">
        <v>181</v>
      </c>
      <c r="E78" s="9">
        <v>520</v>
      </c>
      <c r="F78" s="9">
        <v>2</v>
      </c>
      <c r="G78" s="9">
        <v>0</v>
      </c>
      <c r="H78" s="11">
        <v>0</v>
      </c>
      <c r="I78" s="7" t="s">
        <v>192</v>
      </c>
    </row>
    <row r="79" spans="1:9" ht="21" customHeight="1">
      <c r="A79" s="7" t="s">
        <v>47</v>
      </c>
      <c r="B79" s="7" t="s">
        <v>450</v>
      </c>
      <c r="C79" s="7" t="s">
        <v>451</v>
      </c>
      <c r="D79" s="7" t="s">
        <v>181</v>
      </c>
      <c r="E79" s="9">
        <v>812</v>
      </c>
      <c r="F79" s="9">
        <v>12</v>
      </c>
      <c r="G79" s="9">
        <v>0</v>
      </c>
      <c r="H79" s="11">
        <v>0</v>
      </c>
      <c r="I79" s="7" t="s">
        <v>450</v>
      </c>
    </row>
    <row r="80" spans="1:9" ht="21" customHeight="1">
      <c r="A80" s="7" t="s">
        <v>47</v>
      </c>
      <c r="B80" s="7" t="s">
        <v>521</v>
      </c>
      <c r="C80" s="7" t="s">
        <v>522</v>
      </c>
      <c r="D80" s="7" t="s">
        <v>181</v>
      </c>
      <c r="E80" s="9">
        <v>154</v>
      </c>
      <c r="F80" s="9">
        <v>4</v>
      </c>
      <c r="G80" s="9">
        <v>0</v>
      </c>
      <c r="H80" s="11">
        <v>0</v>
      </c>
      <c r="I80" s="7" t="s">
        <v>521</v>
      </c>
    </row>
    <row r="81" spans="1:9" ht="21" customHeight="1">
      <c r="A81" s="7" t="s">
        <v>47</v>
      </c>
      <c r="B81" s="7" t="s">
        <v>184</v>
      </c>
      <c r="C81" s="7" t="s">
        <v>495</v>
      </c>
      <c r="D81" s="7" t="s">
        <v>181</v>
      </c>
      <c r="E81" s="9">
        <v>819</v>
      </c>
      <c r="F81" s="9">
        <v>19</v>
      </c>
      <c r="G81" s="9">
        <v>0</v>
      </c>
      <c r="H81" s="11">
        <v>0</v>
      </c>
      <c r="I81" s="7" t="s">
        <v>184</v>
      </c>
    </row>
    <row r="82" spans="1:9" ht="21" customHeight="1">
      <c r="A82" s="7" t="s">
        <v>47</v>
      </c>
      <c r="B82" s="7" t="s">
        <v>498</v>
      </c>
      <c r="C82" s="7" t="s">
        <v>523</v>
      </c>
      <c r="D82" s="7" t="s">
        <v>181</v>
      </c>
      <c r="E82" s="9">
        <v>433</v>
      </c>
      <c r="F82" s="9">
        <v>5</v>
      </c>
      <c r="G82" s="9">
        <v>0</v>
      </c>
      <c r="H82" s="11">
        <v>0</v>
      </c>
      <c r="I82" s="7" t="s">
        <v>498</v>
      </c>
    </row>
    <row r="83" spans="1:9" ht="21" customHeight="1">
      <c r="A83" s="7" t="s">
        <v>47</v>
      </c>
      <c r="B83" s="7" t="s">
        <v>452</v>
      </c>
      <c r="C83" s="7" t="s">
        <v>453</v>
      </c>
      <c r="D83" s="7" t="s">
        <v>181</v>
      </c>
      <c r="E83" s="9">
        <v>145</v>
      </c>
      <c r="F83" s="9">
        <v>1</v>
      </c>
      <c r="G83" s="9">
        <v>0</v>
      </c>
      <c r="H83" s="11">
        <v>0</v>
      </c>
      <c r="I83" s="7" t="s">
        <v>452</v>
      </c>
    </row>
    <row r="84" spans="1:9" ht="21" customHeight="1">
      <c r="A84" s="7" t="s">
        <v>47</v>
      </c>
      <c r="B84" s="7" t="s">
        <v>200</v>
      </c>
      <c r="C84" s="7" t="s">
        <v>454</v>
      </c>
      <c r="D84" s="7" t="s">
        <v>181</v>
      </c>
      <c r="E84" s="9">
        <v>607</v>
      </c>
      <c r="F84" s="9">
        <v>12</v>
      </c>
      <c r="G84" s="9">
        <v>0</v>
      </c>
      <c r="H84" s="11">
        <v>0</v>
      </c>
      <c r="I84" s="7" t="s">
        <v>200</v>
      </c>
    </row>
    <row r="85" spans="1:9" ht="21" customHeight="1">
      <c r="A85" s="7" t="s">
        <v>47</v>
      </c>
      <c r="B85" s="7" t="s">
        <v>202</v>
      </c>
      <c r="C85" s="7" t="s">
        <v>326</v>
      </c>
      <c r="D85" s="7" t="s">
        <v>181</v>
      </c>
      <c r="E85" s="9">
        <v>806</v>
      </c>
      <c r="F85" s="9">
        <v>1</v>
      </c>
      <c r="G85" s="9">
        <v>0</v>
      </c>
      <c r="H85" s="11">
        <v>0</v>
      </c>
      <c r="I85" s="7" t="s">
        <v>202</v>
      </c>
    </row>
    <row r="86" spans="1:9" ht="21" customHeight="1">
      <c r="A86" s="7" t="s">
        <v>47</v>
      </c>
      <c r="B86" s="7" t="s">
        <v>188</v>
      </c>
      <c r="C86" s="7" t="s">
        <v>189</v>
      </c>
      <c r="D86" s="7" t="s">
        <v>181</v>
      </c>
      <c r="E86" s="9">
        <v>883</v>
      </c>
      <c r="F86" s="9">
        <v>19</v>
      </c>
      <c r="G86" s="9">
        <v>0</v>
      </c>
      <c r="H86" s="11">
        <v>0</v>
      </c>
      <c r="I86" s="7" t="s">
        <v>188</v>
      </c>
    </row>
    <row r="87" spans="1:9" ht="21" customHeight="1">
      <c r="A87" s="7" t="s">
        <v>47</v>
      </c>
      <c r="B87" s="7" t="s">
        <v>537</v>
      </c>
      <c r="C87" s="7" t="s">
        <v>538</v>
      </c>
      <c r="D87" s="7" t="s">
        <v>181</v>
      </c>
      <c r="E87" s="9">
        <v>485</v>
      </c>
      <c r="F87" s="9">
        <v>5</v>
      </c>
      <c r="G87" s="9">
        <v>0</v>
      </c>
      <c r="H87" s="11">
        <v>0</v>
      </c>
      <c r="I87" s="7" t="s">
        <v>537</v>
      </c>
    </row>
    <row r="88" spans="1:9" ht="21" customHeight="1">
      <c r="A88" s="7" t="s">
        <v>47</v>
      </c>
      <c r="B88" s="7" t="s">
        <v>206</v>
      </c>
      <c r="C88" s="7" t="s">
        <v>334</v>
      </c>
      <c r="D88" s="7" t="s">
        <v>181</v>
      </c>
      <c r="E88" s="9">
        <v>774</v>
      </c>
      <c r="F88" s="9">
        <v>2</v>
      </c>
      <c r="G88" s="9">
        <v>0</v>
      </c>
      <c r="H88" s="11">
        <v>0</v>
      </c>
      <c r="I88" s="7" t="s">
        <v>206</v>
      </c>
    </row>
    <row r="89" spans="1:9" ht="21" customHeight="1">
      <c r="A89" s="7" t="s">
        <v>48</v>
      </c>
      <c r="B89" s="7" t="s">
        <v>208</v>
      </c>
      <c r="C89" s="7" t="s">
        <v>457</v>
      </c>
      <c r="D89" s="7" t="s">
        <v>210</v>
      </c>
      <c r="E89" s="9">
        <v>276</v>
      </c>
      <c r="F89" s="9">
        <v>8</v>
      </c>
      <c r="G89" s="9">
        <v>0</v>
      </c>
      <c r="H89" s="11">
        <v>0</v>
      </c>
      <c r="I89" s="7" t="s">
        <v>208</v>
      </c>
    </row>
    <row r="90" spans="1:9" ht="21" customHeight="1">
      <c r="A90" s="7" t="s">
        <v>48</v>
      </c>
      <c r="B90" s="7" t="s">
        <v>211</v>
      </c>
      <c r="C90" s="7" t="s">
        <v>458</v>
      </c>
      <c r="D90" s="7" t="s">
        <v>213</v>
      </c>
      <c r="E90" s="9">
        <v>12</v>
      </c>
      <c r="F90" s="9">
        <v>0</v>
      </c>
      <c r="G90" s="9">
        <v>0</v>
      </c>
      <c r="H90" s="11">
        <v>0</v>
      </c>
      <c r="I90" s="7" t="s">
        <v>211</v>
      </c>
    </row>
    <row r="91" spans="1:9" ht="21" customHeight="1">
      <c r="A91" s="7" t="s">
        <v>48</v>
      </c>
      <c r="B91" s="7" t="s">
        <v>214</v>
      </c>
      <c r="C91" s="7" t="s">
        <v>459</v>
      </c>
      <c r="D91" s="7" t="s">
        <v>213</v>
      </c>
      <c r="E91" s="9">
        <v>1</v>
      </c>
      <c r="F91" s="9">
        <v>0</v>
      </c>
      <c r="G91" s="9">
        <v>0</v>
      </c>
      <c r="H91" s="11">
        <v>0</v>
      </c>
      <c r="I91" s="7" t="s">
        <v>214</v>
      </c>
    </row>
    <row r="92" spans="1:9" ht="21" customHeight="1">
      <c r="A92" s="7" t="s">
        <v>48</v>
      </c>
      <c r="B92" s="7" t="s">
        <v>216</v>
      </c>
      <c r="C92" s="7" t="s">
        <v>546</v>
      </c>
      <c r="D92" s="7" t="s">
        <v>61</v>
      </c>
      <c r="E92" s="9">
        <v>20</v>
      </c>
      <c r="F92" s="9">
        <v>0</v>
      </c>
      <c r="G92" s="9">
        <v>0</v>
      </c>
      <c r="H92" s="11">
        <v>0</v>
      </c>
      <c r="I92" s="7" t="s">
        <v>216</v>
      </c>
    </row>
    <row r="93" spans="1:9" ht="21" customHeight="1">
      <c r="A93" s="7" t="s">
        <v>48</v>
      </c>
      <c r="B93" s="7" t="s">
        <v>218</v>
      </c>
      <c r="C93" s="7" t="s">
        <v>502</v>
      </c>
      <c r="D93" s="7" t="s">
        <v>213</v>
      </c>
      <c r="E93" s="9">
        <v>6</v>
      </c>
      <c r="F93" s="9">
        <v>0</v>
      </c>
      <c r="G93" s="9">
        <v>0</v>
      </c>
      <c r="H93" s="11">
        <v>0</v>
      </c>
      <c r="I93" s="7" t="s">
        <v>218</v>
      </c>
    </row>
    <row r="94" spans="1:9" ht="21" customHeight="1">
      <c r="A94" s="7" t="s">
        <v>48</v>
      </c>
      <c r="B94" s="7" t="s">
        <v>220</v>
      </c>
      <c r="C94" s="7" t="s">
        <v>461</v>
      </c>
      <c r="D94" s="7" t="s">
        <v>210</v>
      </c>
      <c r="E94" s="9">
        <v>105</v>
      </c>
      <c r="F94" s="9">
        <v>2</v>
      </c>
      <c r="G94" s="9">
        <v>0</v>
      </c>
      <c r="H94" s="11">
        <v>0</v>
      </c>
      <c r="I94" s="7" t="s">
        <v>220</v>
      </c>
    </row>
    <row r="95" spans="1:9" ht="21" customHeight="1">
      <c r="A95" s="7" t="s">
        <v>48</v>
      </c>
      <c r="B95" s="7" t="s">
        <v>222</v>
      </c>
      <c r="C95" s="7" t="s">
        <v>462</v>
      </c>
      <c r="D95" s="7" t="s">
        <v>210</v>
      </c>
      <c r="E95" s="9">
        <v>109</v>
      </c>
      <c r="F95" s="9">
        <v>2</v>
      </c>
      <c r="G95" s="9">
        <v>0</v>
      </c>
      <c r="H95" s="11">
        <v>0</v>
      </c>
      <c r="I95" s="7" t="s">
        <v>222</v>
      </c>
    </row>
    <row r="96" spans="1:9" ht="21" customHeight="1">
      <c r="A96" s="7" t="s">
        <v>48</v>
      </c>
      <c r="B96" s="7" t="s">
        <v>224</v>
      </c>
      <c r="C96" s="7" t="s">
        <v>503</v>
      </c>
      <c r="D96" s="7" t="s">
        <v>213</v>
      </c>
      <c r="E96" s="9">
        <v>2</v>
      </c>
      <c r="F96" s="9">
        <v>0</v>
      </c>
      <c r="G96" s="9">
        <v>0</v>
      </c>
      <c r="H96" s="11">
        <v>0</v>
      </c>
      <c r="I96" s="7" t="s">
        <v>224</v>
      </c>
    </row>
    <row r="97" spans="1:9" ht="21" customHeight="1">
      <c r="A97" s="7" t="s">
        <v>48</v>
      </c>
      <c r="B97" s="7" t="s">
        <v>226</v>
      </c>
      <c r="C97" s="7" t="s">
        <v>463</v>
      </c>
      <c r="D97" s="7" t="s">
        <v>210</v>
      </c>
      <c r="E97" s="9">
        <v>238</v>
      </c>
      <c r="F97" s="9">
        <v>1</v>
      </c>
      <c r="G97" s="9">
        <v>0</v>
      </c>
      <c r="H97" s="11">
        <v>0</v>
      </c>
      <c r="I97" s="7" t="s">
        <v>226</v>
      </c>
    </row>
    <row r="98" spans="1:9" ht="21" customHeight="1">
      <c r="A98" s="7" t="s">
        <v>48</v>
      </c>
      <c r="B98" s="7" t="s">
        <v>228</v>
      </c>
      <c r="C98" s="7" t="s">
        <v>464</v>
      </c>
      <c r="D98" s="7" t="s">
        <v>210</v>
      </c>
      <c r="E98" s="9">
        <v>174</v>
      </c>
      <c r="F98" s="9">
        <v>3</v>
      </c>
      <c r="G98" s="9">
        <v>0</v>
      </c>
      <c r="H98" s="11">
        <v>0</v>
      </c>
      <c r="I98" s="7" t="s">
        <v>228</v>
      </c>
    </row>
    <row r="99" spans="1:9" ht="21" customHeight="1">
      <c r="A99" s="7" t="s">
        <v>48</v>
      </c>
      <c r="B99" s="7" t="s">
        <v>230</v>
      </c>
      <c r="C99" s="7" t="s">
        <v>547</v>
      </c>
      <c r="D99" s="7" t="s">
        <v>61</v>
      </c>
      <c r="E99" s="9">
        <v>1813</v>
      </c>
      <c r="F99" s="9">
        <v>47</v>
      </c>
      <c r="G99" s="9">
        <v>0</v>
      </c>
      <c r="H99" s="11">
        <v>0</v>
      </c>
      <c r="I99" s="7" t="s">
        <v>230</v>
      </c>
    </row>
    <row r="100" spans="1:9" ht="21" customHeight="1">
      <c r="A100" s="7" t="s">
        <v>48</v>
      </c>
      <c r="B100" s="7" t="s">
        <v>504</v>
      </c>
      <c r="C100" s="7" t="s">
        <v>505</v>
      </c>
      <c r="D100" s="7" t="s">
        <v>213</v>
      </c>
      <c r="E100" s="9">
        <v>12</v>
      </c>
      <c r="F100" s="9">
        <v>0</v>
      </c>
      <c r="G100" s="9">
        <v>0</v>
      </c>
      <c r="H100" s="11">
        <v>0</v>
      </c>
      <c r="I100" s="7" t="s">
        <v>504</v>
      </c>
    </row>
    <row r="101" spans="1:9" ht="21" customHeight="1">
      <c r="A101" s="7" t="s">
        <v>48</v>
      </c>
      <c r="B101" s="7" t="s">
        <v>346</v>
      </c>
      <c r="C101" s="7" t="s">
        <v>527</v>
      </c>
      <c r="D101" s="7" t="s">
        <v>213</v>
      </c>
      <c r="E101" s="9">
        <v>1</v>
      </c>
      <c r="F101" s="9">
        <v>0</v>
      </c>
      <c r="G101" s="9">
        <v>0</v>
      </c>
      <c r="H101" s="11">
        <v>0</v>
      </c>
      <c r="I101" s="7" t="s">
        <v>346</v>
      </c>
    </row>
    <row r="102" spans="1:9" ht="21" customHeight="1">
      <c r="A102" s="7" t="s">
        <v>48</v>
      </c>
      <c r="B102" s="7" t="s">
        <v>232</v>
      </c>
      <c r="C102" s="7" t="s">
        <v>506</v>
      </c>
      <c r="D102" s="7" t="s">
        <v>61</v>
      </c>
      <c r="E102" s="9">
        <v>1479</v>
      </c>
      <c r="F102" s="9">
        <v>27</v>
      </c>
      <c r="G102" s="9">
        <v>0</v>
      </c>
      <c r="H102" s="11">
        <v>0</v>
      </c>
      <c r="I102" s="7" t="s">
        <v>232</v>
      </c>
    </row>
    <row r="103" spans="1:9" ht="21" customHeight="1">
      <c r="A103" s="7" t="s">
        <v>48</v>
      </c>
      <c r="B103" s="7" t="s">
        <v>234</v>
      </c>
      <c r="C103" s="7" t="s">
        <v>466</v>
      </c>
      <c r="D103" s="7" t="s">
        <v>61</v>
      </c>
      <c r="E103" s="9">
        <v>11</v>
      </c>
      <c r="F103" s="9">
        <v>0</v>
      </c>
      <c r="G103" s="9">
        <v>0</v>
      </c>
      <c r="H103" s="11">
        <v>0</v>
      </c>
      <c r="I103" s="7" t="s">
        <v>234</v>
      </c>
    </row>
    <row r="104" spans="1:9" ht="21" customHeight="1">
      <c r="A104" s="7" t="s">
        <v>48</v>
      </c>
      <c r="B104" s="7" t="s">
        <v>236</v>
      </c>
      <c r="C104" s="7" t="s">
        <v>467</v>
      </c>
      <c r="D104" s="7" t="s">
        <v>213</v>
      </c>
      <c r="E104" s="9">
        <v>2</v>
      </c>
      <c r="F104" s="9">
        <v>0</v>
      </c>
      <c r="G104" s="9">
        <v>0</v>
      </c>
      <c r="H104" s="11">
        <v>0</v>
      </c>
      <c r="I104" s="7" t="s">
        <v>236</v>
      </c>
    </row>
    <row r="105" spans="1:9" ht="21" customHeight="1">
      <c r="A105" s="7" t="s">
        <v>48</v>
      </c>
      <c r="B105" s="7" t="s">
        <v>238</v>
      </c>
      <c r="C105" s="7" t="s">
        <v>468</v>
      </c>
      <c r="D105" s="7" t="s">
        <v>61</v>
      </c>
      <c r="E105" s="9">
        <v>177</v>
      </c>
      <c r="F105" s="9">
        <v>0</v>
      </c>
      <c r="G105" s="9">
        <v>0</v>
      </c>
      <c r="H105" s="11">
        <v>0</v>
      </c>
      <c r="I105" s="7" t="s">
        <v>238</v>
      </c>
    </row>
    <row r="106" spans="1:9" ht="21" customHeight="1">
      <c r="A106" s="7" t="s">
        <v>49</v>
      </c>
      <c r="B106" s="7" t="s">
        <v>245</v>
      </c>
      <c r="C106" s="7" t="s">
        <v>548</v>
      </c>
      <c r="D106" s="7" t="s">
        <v>61</v>
      </c>
      <c r="E106" s="9">
        <v>4</v>
      </c>
      <c r="F106" s="9">
        <v>0</v>
      </c>
      <c r="G106" s="9">
        <v>0</v>
      </c>
      <c r="H106" s="11">
        <v>0</v>
      </c>
      <c r="I106" s="7" t="s">
        <v>245</v>
      </c>
    </row>
    <row r="107" spans="1:9" ht="21" customHeight="1">
      <c r="A107" s="7" t="s">
        <v>49</v>
      </c>
      <c r="B107" s="7" t="s">
        <v>354</v>
      </c>
      <c r="C107" s="7" t="s">
        <v>549</v>
      </c>
      <c r="D107" s="7" t="s">
        <v>61</v>
      </c>
      <c r="E107" s="9">
        <v>2</v>
      </c>
      <c r="F107" s="9">
        <v>0</v>
      </c>
      <c r="G107" s="9">
        <v>0</v>
      </c>
      <c r="H107" s="11">
        <v>0</v>
      </c>
      <c r="I107" s="7" t="s">
        <v>354</v>
      </c>
    </row>
    <row r="108" spans="1:9" ht="21" customHeight="1">
      <c r="A108" s="7" t="s">
        <v>49</v>
      </c>
      <c r="B108" s="7" t="s">
        <v>247</v>
      </c>
      <c r="C108" s="7" t="s">
        <v>470</v>
      </c>
      <c r="D108" s="7" t="s">
        <v>61</v>
      </c>
      <c r="E108" s="9">
        <v>4</v>
      </c>
      <c r="F108" s="9">
        <v>0</v>
      </c>
      <c r="G108" s="9">
        <v>0</v>
      </c>
      <c r="H108" s="11">
        <v>0</v>
      </c>
      <c r="I108" s="7" t="s">
        <v>247</v>
      </c>
    </row>
    <row r="109" spans="1:9" ht="21" customHeight="1">
      <c r="A109" s="7" t="s">
        <v>50</v>
      </c>
      <c r="B109" s="7" t="s">
        <v>251</v>
      </c>
      <c r="C109" s="7" t="s">
        <v>252</v>
      </c>
      <c r="D109" s="7" t="s">
        <v>250</v>
      </c>
      <c r="E109" s="9">
        <v>0</v>
      </c>
      <c r="F109" s="9">
        <v>0</v>
      </c>
      <c r="G109" s="9">
        <v>9</v>
      </c>
      <c r="H109" s="11">
        <v>0</v>
      </c>
      <c r="I109" s="7" t="s">
        <v>251</v>
      </c>
    </row>
    <row r="110" spans="1:9" ht="21" customHeight="1">
      <c r="A110" s="7" t="s">
        <v>50</v>
      </c>
      <c r="B110" s="7" t="s">
        <v>255</v>
      </c>
      <c r="C110" s="7" t="s">
        <v>529</v>
      </c>
      <c r="D110" s="7" t="s">
        <v>250</v>
      </c>
      <c r="E110" s="9">
        <v>77</v>
      </c>
      <c r="F110" s="9">
        <v>0</v>
      </c>
      <c r="G110" s="9">
        <v>11</v>
      </c>
      <c r="H110" s="11">
        <v>0</v>
      </c>
      <c r="I110" s="7" t="s">
        <v>255</v>
      </c>
    </row>
    <row r="111" spans="1:9" ht="21" customHeight="1">
      <c r="A111" s="7" t="s">
        <v>51</v>
      </c>
      <c r="B111" s="7" t="s">
        <v>257</v>
      </c>
      <c r="C111" s="7" t="s">
        <v>471</v>
      </c>
      <c r="D111" s="7" t="s">
        <v>259</v>
      </c>
      <c r="E111" s="9">
        <v>92</v>
      </c>
      <c r="F111" s="9">
        <v>0</v>
      </c>
      <c r="G111" s="9">
        <v>0</v>
      </c>
      <c r="H111" s="11">
        <v>0</v>
      </c>
      <c r="I111" s="7" t="s">
        <v>257</v>
      </c>
    </row>
    <row r="112" spans="1:9" ht="21" customHeight="1">
      <c r="A112" s="7" t="s">
        <v>52</v>
      </c>
      <c r="B112" s="7" t="s">
        <v>416</v>
      </c>
      <c r="C112" s="7" t="s">
        <v>472</v>
      </c>
      <c r="D112" s="7" t="s">
        <v>262</v>
      </c>
      <c r="E112" s="9">
        <v>4</v>
      </c>
      <c r="F112" s="9">
        <v>0</v>
      </c>
      <c r="G112" s="9">
        <v>0</v>
      </c>
      <c r="H112" s="11">
        <v>0</v>
      </c>
      <c r="I112" s="7" t="s">
        <v>416</v>
      </c>
    </row>
    <row r="113" spans="1:9" ht="21" customHeight="1">
      <c r="A113" s="7" t="s">
        <v>52</v>
      </c>
      <c r="B113" s="7" t="s">
        <v>260</v>
      </c>
      <c r="C113" s="7" t="s">
        <v>512</v>
      </c>
      <c r="D113" s="7" t="s">
        <v>262</v>
      </c>
      <c r="E113" s="9">
        <v>2491</v>
      </c>
      <c r="F113" s="9">
        <v>0</v>
      </c>
      <c r="G113" s="9">
        <v>0</v>
      </c>
      <c r="H113" s="11">
        <v>0</v>
      </c>
      <c r="I113" s="7" t="s">
        <v>260</v>
      </c>
    </row>
    <row r="114" spans="1:9" ht="21" customHeight="1">
      <c r="A114" s="7" t="s">
        <v>52</v>
      </c>
      <c r="B114" s="7" t="s">
        <v>263</v>
      </c>
      <c r="C114" s="7" t="s">
        <v>513</v>
      </c>
      <c r="D114" s="7" t="s">
        <v>262</v>
      </c>
      <c r="E114" s="9">
        <v>1483</v>
      </c>
      <c r="F114" s="9">
        <v>0</v>
      </c>
      <c r="G114" s="9">
        <v>0</v>
      </c>
      <c r="H114" s="11">
        <v>0</v>
      </c>
      <c r="I114" s="7" t="s">
        <v>263</v>
      </c>
    </row>
    <row r="115" spans="1:9" ht="21" customHeight="1">
      <c r="A115" s="7" t="s">
        <v>52</v>
      </c>
      <c r="B115" s="7" t="s">
        <v>265</v>
      </c>
      <c r="C115" s="7" t="s">
        <v>419</v>
      </c>
      <c r="D115" s="7" t="s">
        <v>262</v>
      </c>
      <c r="E115" s="9">
        <v>649</v>
      </c>
      <c r="F115" s="9">
        <v>19</v>
      </c>
      <c r="G115" s="9">
        <v>0</v>
      </c>
      <c r="H115" s="11">
        <v>0</v>
      </c>
      <c r="I115" s="7" t="s">
        <v>265</v>
      </c>
    </row>
    <row r="116" spans="1:9" ht="21" customHeight="1">
      <c r="A116" s="7" t="s">
        <v>52</v>
      </c>
      <c r="B116" s="7" t="s">
        <v>267</v>
      </c>
      <c r="C116" s="7" t="s">
        <v>473</v>
      </c>
      <c r="D116" s="7" t="s">
        <v>262</v>
      </c>
      <c r="E116" s="9">
        <v>10</v>
      </c>
      <c r="F116" s="9">
        <v>0</v>
      </c>
      <c r="G116" s="9">
        <v>0</v>
      </c>
      <c r="H116" s="11">
        <v>0</v>
      </c>
      <c r="I116" s="7" t="s">
        <v>267</v>
      </c>
    </row>
    <row r="117" spans="1:9" ht="21" customHeight="1">
      <c r="A117" s="7" t="s">
        <v>52</v>
      </c>
      <c r="B117" s="7" t="s">
        <v>531</v>
      </c>
      <c r="C117" s="7" t="s">
        <v>532</v>
      </c>
      <c r="D117" s="7" t="s">
        <v>262</v>
      </c>
      <c r="E117" s="9">
        <v>3</v>
      </c>
      <c r="F117" s="9">
        <v>0</v>
      </c>
      <c r="G117" s="9">
        <v>0</v>
      </c>
      <c r="H117" s="11">
        <v>0</v>
      </c>
      <c r="I117" s="7" t="s">
        <v>531</v>
      </c>
    </row>
    <row r="118" spans="1:9" ht="21" customHeight="1">
      <c r="A118" s="7" t="s">
        <v>52</v>
      </c>
      <c r="B118" s="7" t="s">
        <v>268</v>
      </c>
      <c r="C118" s="7" t="s">
        <v>514</v>
      </c>
      <c r="D118" s="7" t="s">
        <v>262</v>
      </c>
      <c r="E118" s="9">
        <v>23</v>
      </c>
      <c r="F118" s="9">
        <v>0</v>
      </c>
      <c r="G118" s="9">
        <v>0</v>
      </c>
      <c r="H118" s="11">
        <v>0</v>
      </c>
      <c r="I118" s="7" t="s">
        <v>268</v>
      </c>
    </row>
    <row r="119" spans="1:9" ht="21" customHeight="1">
      <c r="A119" s="7" t="s">
        <v>52</v>
      </c>
      <c r="B119" s="7" t="s">
        <v>269</v>
      </c>
      <c r="C119" s="7" t="s">
        <v>421</v>
      </c>
      <c r="D119" s="7" t="s">
        <v>262</v>
      </c>
      <c r="E119" s="9">
        <v>231</v>
      </c>
      <c r="F119" s="9">
        <v>0</v>
      </c>
      <c r="G119" s="9">
        <v>0</v>
      </c>
      <c r="H119" s="11">
        <v>0</v>
      </c>
      <c r="I119" s="7" t="s">
        <v>269</v>
      </c>
    </row>
    <row r="120" spans="1:9" ht="21" customHeight="1">
      <c r="A120" s="7" t="s">
        <v>52</v>
      </c>
      <c r="B120" s="7" t="s">
        <v>271</v>
      </c>
      <c r="C120" s="7" t="s">
        <v>475</v>
      </c>
      <c r="D120" s="7" t="s">
        <v>262</v>
      </c>
      <c r="E120" s="9">
        <v>129</v>
      </c>
      <c r="F120" s="9">
        <v>0</v>
      </c>
      <c r="G120" s="9">
        <v>0</v>
      </c>
      <c r="H120" s="11">
        <v>0</v>
      </c>
      <c r="I120" s="7" t="s">
        <v>271</v>
      </c>
    </row>
    <row r="121" spans="1:9" ht="21" customHeight="1">
      <c r="A121" s="7" t="s">
        <v>52</v>
      </c>
      <c r="B121" s="7" t="s">
        <v>273</v>
      </c>
      <c r="C121" s="7" t="s">
        <v>541</v>
      </c>
      <c r="D121" s="7" t="s">
        <v>262</v>
      </c>
      <c r="E121" s="9">
        <v>1950</v>
      </c>
      <c r="F121" s="9">
        <v>0</v>
      </c>
      <c r="G121" s="9">
        <v>0</v>
      </c>
      <c r="H121" s="11">
        <v>0</v>
      </c>
      <c r="I121" s="7" t="s">
        <v>273</v>
      </c>
    </row>
    <row r="122" spans="1:9" ht="21" customHeight="1">
      <c r="A122" s="7" t="s">
        <v>52</v>
      </c>
      <c r="B122" s="7" t="s">
        <v>275</v>
      </c>
      <c r="C122" s="7" t="s">
        <v>477</v>
      </c>
      <c r="D122" s="7" t="s">
        <v>262</v>
      </c>
      <c r="E122" s="9">
        <v>36</v>
      </c>
      <c r="F122" s="9">
        <v>0</v>
      </c>
      <c r="G122" s="9">
        <v>0</v>
      </c>
      <c r="H122" s="11">
        <v>0</v>
      </c>
      <c r="I122" s="7" t="s">
        <v>275</v>
      </c>
    </row>
    <row r="123" spans="1:9" ht="21" customHeight="1">
      <c r="A123" s="7" t="s">
        <v>52</v>
      </c>
      <c r="B123" s="7" t="s">
        <v>277</v>
      </c>
      <c r="C123" s="7" t="s">
        <v>478</v>
      </c>
      <c r="D123" s="7" t="s">
        <v>262</v>
      </c>
      <c r="E123" s="9">
        <v>465</v>
      </c>
      <c r="F123" s="9">
        <v>0</v>
      </c>
      <c r="G123" s="9">
        <v>0</v>
      </c>
      <c r="H123" s="11">
        <v>0</v>
      </c>
      <c r="I123" s="7" t="s">
        <v>277</v>
      </c>
    </row>
    <row r="124" spans="1:9" ht="21" customHeight="1">
      <c r="A124" s="7" t="s">
        <v>52</v>
      </c>
      <c r="B124" s="7" t="s">
        <v>550</v>
      </c>
      <c r="C124" s="7" t="s">
        <v>551</v>
      </c>
      <c r="D124" s="7" t="s">
        <v>262</v>
      </c>
      <c r="E124" s="9">
        <v>1</v>
      </c>
      <c r="F124" s="9">
        <v>0</v>
      </c>
      <c r="G124" s="9">
        <v>0</v>
      </c>
      <c r="H124" s="11">
        <v>0</v>
      </c>
      <c r="I124" s="7" t="s">
        <v>550</v>
      </c>
    </row>
    <row r="125" spans="1:9" ht="21" customHeight="1">
      <c r="A125" s="7" t="s">
        <v>52</v>
      </c>
      <c r="B125" s="7" t="s">
        <v>279</v>
      </c>
      <c r="C125" s="7" t="s">
        <v>479</v>
      </c>
      <c r="D125" s="7" t="s">
        <v>262</v>
      </c>
      <c r="E125" s="9">
        <v>119</v>
      </c>
      <c r="F125" s="9">
        <v>0</v>
      </c>
      <c r="G125" s="9">
        <v>0</v>
      </c>
      <c r="H125" s="11">
        <v>0</v>
      </c>
      <c r="I125" s="7" t="s">
        <v>279</v>
      </c>
    </row>
    <row r="126" spans="1:9" ht="21" customHeight="1">
      <c r="A126" s="7" t="s">
        <v>52</v>
      </c>
      <c r="B126" s="7" t="s">
        <v>280</v>
      </c>
      <c r="C126" s="7" t="s">
        <v>533</v>
      </c>
      <c r="D126" s="7" t="s">
        <v>262</v>
      </c>
      <c r="E126" s="9">
        <v>15</v>
      </c>
      <c r="F126" s="9">
        <v>0</v>
      </c>
      <c r="G126" s="9">
        <v>0</v>
      </c>
      <c r="H126" s="11">
        <v>0</v>
      </c>
      <c r="I126" s="7" t="s">
        <v>280</v>
      </c>
    </row>
    <row r="127" spans="1:9" ht="21" customHeight="1">
      <c r="A127" s="7" t="s">
        <v>52</v>
      </c>
      <c r="B127" s="7" t="s">
        <v>281</v>
      </c>
      <c r="C127" s="7" t="s">
        <v>424</v>
      </c>
      <c r="D127" s="7" t="s">
        <v>262</v>
      </c>
      <c r="E127" s="9">
        <v>7</v>
      </c>
      <c r="F127" s="9">
        <v>0</v>
      </c>
      <c r="G127" s="9">
        <v>0</v>
      </c>
      <c r="H127" s="11">
        <v>0</v>
      </c>
      <c r="I127" s="7" t="s">
        <v>281</v>
      </c>
    </row>
    <row r="128" spans="1:9" ht="21" customHeight="1">
      <c r="A128" s="7" t="s">
        <v>52</v>
      </c>
      <c r="B128" s="7" t="s">
        <v>283</v>
      </c>
      <c r="C128" s="7" t="s">
        <v>484</v>
      </c>
      <c r="D128" s="7" t="s">
        <v>262</v>
      </c>
      <c r="E128" s="9">
        <v>637</v>
      </c>
      <c r="F128" s="9">
        <v>0</v>
      </c>
      <c r="G128" s="9">
        <v>0</v>
      </c>
      <c r="H128" s="11">
        <v>0</v>
      </c>
      <c r="I128" s="7" t="s">
        <v>283</v>
      </c>
    </row>
    <row r="129" spans="1:9" ht="21" customHeight="1">
      <c r="A129" s="8" t="s">
        <v>52</v>
      </c>
      <c r="B129" s="8" t="s">
        <v>286</v>
      </c>
      <c r="C129" s="8" t="s">
        <v>426</v>
      </c>
      <c r="D129" s="8" t="s">
        <v>262</v>
      </c>
      <c r="E129" s="10">
        <v>20</v>
      </c>
      <c r="F129" s="10">
        <v>0</v>
      </c>
      <c r="G129" s="10">
        <v>0</v>
      </c>
      <c r="H129" s="12">
        <v>0</v>
      </c>
      <c r="I129" s="8" t="s">
        <v>286</v>
      </c>
    </row>
    <row r="131" spans="1:9">
      <c r="A131" s="21" t="s">
        <v>288</v>
      </c>
      <c r="B131" s="22"/>
      <c r="C131" s="22"/>
      <c r="D131" s="22"/>
      <c r="E131" s="13">
        <f>SUM(E6:E129)</f>
        <v>1103999</v>
      </c>
      <c r="F131" s="13">
        <f>SUM(F6:F129)</f>
        <v>53391</v>
      </c>
      <c r="G131" s="13">
        <f>SUM(G6:G129)</f>
        <v>1142</v>
      </c>
      <c r="H131" s="14">
        <f>SUM(H6:H129)</f>
        <v>1916377.6454579993</v>
      </c>
    </row>
  </sheetData>
  <mergeCells count="1">
    <mergeCell ref="A131:D13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CA3AF"/>
  </sheetPr>
  <dimension ref="A1:I13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29" customWidth="1"/>
    <col min="2" max="2" width="31" customWidth="1"/>
    <col min="3" max="3" width="48" customWidth="1"/>
    <col min="4" max="4" width="29" customWidth="1"/>
    <col min="5" max="7" width="17" customWidth="1"/>
    <col min="8" max="8" width="20" customWidth="1"/>
    <col min="9" max="9" width="38" customWidth="1"/>
  </cols>
  <sheetData>
    <row r="1" spans="1:9" ht="8" customHeight="1"/>
    <row r="2" spans="1:9" ht="19">
      <c r="A2" s="1" t="s">
        <v>552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553</v>
      </c>
    </row>
    <row r="5" spans="1:9" ht="30" customHeight="1">
      <c r="A5" s="4" t="s">
        <v>35</v>
      </c>
      <c r="B5" s="5" t="s">
        <v>55</v>
      </c>
      <c r="C5" s="5" t="s">
        <v>56</v>
      </c>
      <c r="D5" s="5" t="s">
        <v>57</v>
      </c>
      <c r="E5" s="5" t="s">
        <v>36</v>
      </c>
      <c r="F5" s="5" t="s">
        <v>37</v>
      </c>
      <c r="G5" s="5" t="s">
        <v>38</v>
      </c>
      <c r="H5" s="5" t="s">
        <v>39</v>
      </c>
      <c r="I5" s="6" t="s">
        <v>58</v>
      </c>
    </row>
    <row r="6" spans="1:9" ht="21" customHeight="1">
      <c r="A6" s="7" t="s">
        <v>41</v>
      </c>
      <c r="B6" s="7" t="s">
        <v>59</v>
      </c>
      <c r="C6" s="7" t="s">
        <v>60</v>
      </c>
      <c r="D6" s="7" t="s">
        <v>61</v>
      </c>
      <c r="E6" s="9">
        <v>291787</v>
      </c>
      <c r="F6" s="9">
        <v>15244</v>
      </c>
      <c r="G6" s="9">
        <v>337</v>
      </c>
      <c r="H6" s="11">
        <v>659310.89520799997</v>
      </c>
      <c r="I6" s="7" t="s">
        <v>59</v>
      </c>
    </row>
    <row r="7" spans="1:9" ht="21" customHeight="1">
      <c r="A7" s="7" t="s">
        <v>41</v>
      </c>
      <c r="B7" s="7" t="s">
        <v>62</v>
      </c>
      <c r="C7" s="7" t="s">
        <v>63</v>
      </c>
      <c r="D7" s="7" t="s">
        <v>61</v>
      </c>
      <c r="E7" s="9">
        <v>162825</v>
      </c>
      <c r="F7" s="9">
        <v>5986</v>
      </c>
      <c r="G7" s="9">
        <v>76</v>
      </c>
      <c r="H7" s="11">
        <v>460203.378822</v>
      </c>
      <c r="I7" s="7" t="s">
        <v>62</v>
      </c>
    </row>
    <row r="8" spans="1:9" ht="21" customHeight="1">
      <c r="A8" s="7" t="s">
        <v>41</v>
      </c>
      <c r="B8" s="7" t="s">
        <v>64</v>
      </c>
      <c r="C8" s="7" t="s">
        <v>65</v>
      </c>
      <c r="D8" s="7" t="s">
        <v>61</v>
      </c>
      <c r="E8" s="9">
        <v>188051</v>
      </c>
      <c r="F8" s="9">
        <v>6621</v>
      </c>
      <c r="G8" s="9">
        <v>42</v>
      </c>
      <c r="H8" s="11">
        <v>226646.385951</v>
      </c>
      <c r="I8" s="7" t="s">
        <v>64</v>
      </c>
    </row>
    <row r="9" spans="1:9" ht="21" customHeight="1">
      <c r="A9" s="7" t="s">
        <v>41</v>
      </c>
      <c r="B9" s="7" t="s">
        <v>66</v>
      </c>
      <c r="C9" s="7" t="s">
        <v>67</v>
      </c>
      <c r="D9" s="7" t="s">
        <v>61</v>
      </c>
      <c r="E9" s="9">
        <v>35540</v>
      </c>
      <c r="F9" s="9">
        <v>1963</v>
      </c>
      <c r="G9" s="9">
        <v>44</v>
      </c>
      <c r="H9" s="11">
        <v>159907.78094600001</v>
      </c>
      <c r="I9" s="7" t="s">
        <v>66</v>
      </c>
    </row>
    <row r="10" spans="1:9" ht="21" customHeight="1">
      <c r="A10" s="7" t="s">
        <v>41</v>
      </c>
      <c r="B10" s="7" t="s">
        <v>68</v>
      </c>
      <c r="C10" s="7" t="s">
        <v>554</v>
      </c>
      <c r="D10" s="7" t="s">
        <v>61</v>
      </c>
      <c r="E10" s="9">
        <v>117497</v>
      </c>
      <c r="F10" s="9">
        <v>3968</v>
      </c>
      <c r="G10" s="9">
        <v>25</v>
      </c>
      <c r="H10" s="11">
        <v>88443.199987999993</v>
      </c>
      <c r="I10" s="7" t="s">
        <v>68</v>
      </c>
    </row>
    <row r="11" spans="1:9" ht="21" customHeight="1">
      <c r="A11" s="7" t="s">
        <v>41</v>
      </c>
      <c r="B11" s="7" t="s">
        <v>70</v>
      </c>
      <c r="C11" s="7" t="s">
        <v>71</v>
      </c>
      <c r="D11" s="7" t="s">
        <v>61</v>
      </c>
      <c r="E11" s="9">
        <v>15813</v>
      </c>
      <c r="F11" s="9">
        <v>765</v>
      </c>
      <c r="G11" s="9">
        <v>31</v>
      </c>
      <c r="H11" s="11">
        <v>66995.302614</v>
      </c>
      <c r="I11" s="7" t="s">
        <v>70</v>
      </c>
    </row>
    <row r="12" spans="1:9" ht="21" customHeight="1">
      <c r="A12" s="7" t="s">
        <v>41</v>
      </c>
      <c r="B12" s="7" t="s">
        <v>72</v>
      </c>
      <c r="C12" s="7" t="s">
        <v>73</v>
      </c>
      <c r="D12" s="7" t="s">
        <v>61</v>
      </c>
      <c r="E12" s="9">
        <v>11282</v>
      </c>
      <c r="F12" s="9">
        <v>641</v>
      </c>
      <c r="G12" s="9">
        <v>11</v>
      </c>
      <c r="H12" s="11">
        <v>33254.558288</v>
      </c>
      <c r="I12" s="7" t="s">
        <v>72</v>
      </c>
    </row>
    <row r="13" spans="1:9" ht="21" customHeight="1">
      <c r="A13" s="7" t="s">
        <v>42</v>
      </c>
      <c r="B13" s="7" t="s">
        <v>76</v>
      </c>
      <c r="C13" s="7" t="s">
        <v>487</v>
      </c>
      <c r="D13" s="7" t="s">
        <v>61</v>
      </c>
      <c r="E13" s="9">
        <v>23356</v>
      </c>
      <c r="F13" s="9">
        <v>1681</v>
      </c>
      <c r="G13" s="9">
        <v>158</v>
      </c>
      <c r="H13" s="11">
        <v>57968.795510000004</v>
      </c>
      <c r="I13" s="7" t="s">
        <v>76</v>
      </c>
    </row>
    <row r="14" spans="1:9" ht="21" customHeight="1">
      <c r="A14" s="7" t="s">
        <v>42</v>
      </c>
      <c r="B14" s="7" t="s">
        <v>82</v>
      </c>
      <c r="C14" s="7" t="s">
        <v>83</v>
      </c>
      <c r="D14" s="7" t="s">
        <v>61</v>
      </c>
      <c r="E14" s="9">
        <v>15674</v>
      </c>
      <c r="F14" s="9">
        <v>1093</v>
      </c>
      <c r="G14" s="9">
        <v>34</v>
      </c>
      <c r="H14" s="11">
        <v>26236.769090000002</v>
      </c>
      <c r="I14" s="7" t="s">
        <v>82</v>
      </c>
    </row>
    <row r="15" spans="1:9" ht="21" customHeight="1">
      <c r="A15" s="7" t="s">
        <v>42</v>
      </c>
      <c r="B15" s="7" t="s">
        <v>78</v>
      </c>
      <c r="C15" s="7" t="s">
        <v>79</v>
      </c>
      <c r="D15" s="7" t="s">
        <v>61</v>
      </c>
      <c r="E15" s="9">
        <v>16035</v>
      </c>
      <c r="F15" s="9">
        <v>738</v>
      </c>
      <c r="G15" s="9">
        <v>36</v>
      </c>
      <c r="H15" s="11">
        <v>16656.793034999999</v>
      </c>
      <c r="I15" s="7" t="s">
        <v>78</v>
      </c>
    </row>
    <row r="16" spans="1:9" ht="21" customHeight="1">
      <c r="A16" s="7" t="s">
        <v>42</v>
      </c>
      <c r="B16" s="7" t="s">
        <v>90</v>
      </c>
      <c r="C16" s="7" t="s">
        <v>91</v>
      </c>
      <c r="D16" s="7" t="s">
        <v>61</v>
      </c>
      <c r="E16" s="9">
        <v>8329</v>
      </c>
      <c r="F16" s="9">
        <v>490</v>
      </c>
      <c r="G16" s="9">
        <v>17</v>
      </c>
      <c r="H16" s="11">
        <v>16076.195519999999</v>
      </c>
      <c r="I16" s="7" t="s">
        <v>90</v>
      </c>
    </row>
    <row r="17" spans="1:9" ht="21" customHeight="1">
      <c r="A17" s="7" t="s">
        <v>42</v>
      </c>
      <c r="B17" s="7" t="s">
        <v>88</v>
      </c>
      <c r="C17" s="7" t="s">
        <v>488</v>
      </c>
      <c r="D17" s="7" t="s">
        <v>61</v>
      </c>
      <c r="E17" s="9">
        <v>11874</v>
      </c>
      <c r="F17" s="9">
        <v>851</v>
      </c>
      <c r="G17" s="9">
        <v>50</v>
      </c>
      <c r="H17" s="11">
        <v>13493.346579999999</v>
      </c>
      <c r="I17" s="7" t="s">
        <v>88</v>
      </c>
    </row>
    <row r="18" spans="1:9" ht="21" customHeight="1">
      <c r="A18" s="7" t="s">
        <v>42</v>
      </c>
      <c r="B18" s="7" t="s">
        <v>74</v>
      </c>
      <c r="C18" s="7" t="s">
        <v>536</v>
      </c>
      <c r="D18" s="7" t="s">
        <v>61</v>
      </c>
      <c r="E18" s="9">
        <v>15893</v>
      </c>
      <c r="F18" s="9">
        <v>598</v>
      </c>
      <c r="G18" s="9">
        <v>19</v>
      </c>
      <c r="H18" s="11">
        <v>13171.531645999999</v>
      </c>
      <c r="I18" s="7" t="s">
        <v>74</v>
      </c>
    </row>
    <row r="19" spans="1:9" ht="21" customHeight="1">
      <c r="A19" s="7" t="s">
        <v>42</v>
      </c>
      <c r="B19" s="7" t="s">
        <v>86</v>
      </c>
      <c r="C19" s="7" t="s">
        <v>490</v>
      </c>
      <c r="D19" s="7" t="s">
        <v>61</v>
      </c>
      <c r="E19" s="9">
        <v>5875</v>
      </c>
      <c r="F19" s="9">
        <v>382</v>
      </c>
      <c r="G19" s="9">
        <v>32</v>
      </c>
      <c r="H19" s="11">
        <v>11503.708869</v>
      </c>
      <c r="I19" s="7" t="s">
        <v>86</v>
      </c>
    </row>
    <row r="20" spans="1:9" ht="21" customHeight="1">
      <c r="A20" s="7" t="s">
        <v>42</v>
      </c>
      <c r="B20" s="7" t="s">
        <v>80</v>
      </c>
      <c r="C20" s="7" t="s">
        <v>81</v>
      </c>
      <c r="D20" s="7" t="s">
        <v>61</v>
      </c>
      <c r="E20" s="9">
        <v>7605</v>
      </c>
      <c r="F20" s="9">
        <v>227</v>
      </c>
      <c r="G20" s="9">
        <v>9</v>
      </c>
      <c r="H20" s="11">
        <v>11190.094154</v>
      </c>
      <c r="I20" s="7" t="s">
        <v>80</v>
      </c>
    </row>
    <row r="21" spans="1:9" ht="21" customHeight="1">
      <c r="A21" s="7" t="s">
        <v>42</v>
      </c>
      <c r="B21" s="7" t="s">
        <v>92</v>
      </c>
      <c r="C21" s="7" t="s">
        <v>491</v>
      </c>
      <c r="D21" s="7" t="s">
        <v>61</v>
      </c>
      <c r="E21" s="9">
        <v>11032</v>
      </c>
      <c r="F21" s="9">
        <v>379</v>
      </c>
      <c r="G21" s="9">
        <v>14</v>
      </c>
      <c r="H21" s="11">
        <v>8124.3133340000004</v>
      </c>
      <c r="I21" s="7" t="s">
        <v>92</v>
      </c>
    </row>
    <row r="22" spans="1:9" ht="21" customHeight="1">
      <c r="A22" s="7" t="s">
        <v>42</v>
      </c>
      <c r="B22" s="7" t="s">
        <v>84</v>
      </c>
      <c r="C22" s="7" t="s">
        <v>85</v>
      </c>
      <c r="D22" s="7" t="s">
        <v>61</v>
      </c>
      <c r="E22" s="9">
        <v>1388</v>
      </c>
      <c r="F22" s="9">
        <v>37</v>
      </c>
      <c r="G22" s="9">
        <v>1</v>
      </c>
      <c r="H22" s="11">
        <v>7300.0000019999998</v>
      </c>
      <c r="I22" s="7" t="s">
        <v>84</v>
      </c>
    </row>
    <row r="23" spans="1:9" ht="21" customHeight="1">
      <c r="A23" s="7" t="s">
        <v>42</v>
      </c>
      <c r="B23" s="7" t="s">
        <v>98</v>
      </c>
      <c r="C23" s="7" t="s">
        <v>430</v>
      </c>
      <c r="D23" s="7" t="s">
        <v>61</v>
      </c>
      <c r="E23" s="9">
        <v>3382</v>
      </c>
      <c r="F23" s="9">
        <v>154</v>
      </c>
      <c r="G23" s="9">
        <v>7</v>
      </c>
      <c r="H23" s="11">
        <v>6480.900001</v>
      </c>
      <c r="I23" s="7" t="s">
        <v>98</v>
      </c>
    </row>
    <row r="24" spans="1:9" ht="21" customHeight="1">
      <c r="A24" s="7" t="s">
        <v>42</v>
      </c>
      <c r="B24" s="7" t="s">
        <v>96</v>
      </c>
      <c r="C24" s="7" t="s">
        <v>97</v>
      </c>
      <c r="D24" s="7" t="s">
        <v>61</v>
      </c>
      <c r="E24" s="9">
        <v>1876</v>
      </c>
      <c r="F24" s="9">
        <v>89</v>
      </c>
      <c r="G24" s="9">
        <v>3</v>
      </c>
      <c r="H24" s="11">
        <v>5715.0000010000003</v>
      </c>
      <c r="I24" s="7" t="s">
        <v>96</v>
      </c>
    </row>
    <row r="25" spans="1:9" ht="21" customHeight="1">
      <c r="A25" s="7" t="s">
        <v>42</v>
      </c>
      <c r="B25" s="7" t="s">
        <v>100</v>
      </c>
      <c r="C25" s="7" t="s">
        <v>431</v>
      </c>
      <c r="D25" s="7" t="s">
        <v>61</v>
      </c>
      <c r="E25" s="9">
        <v>1184</v>
      </c>
      <c r="F25" s="9">
        <v>30</v>
      </c>
      <c r="G25" s="9">
        <v>1</v>
      </c>
      <c r="H25" s="11">
        <v>1800.0000010000001</v>
      </c>
      <c r="I25" s="7" t="s">
        <v>100</v>
      </c>
    </row>
    <row r="26" spans="1:9" ht="21" customHeight="1">
      <c r="A26" s="7" t="s">
        <v>42</v>
      </c>
      <c r="B26" s="7" t="s">
        <v>102</v>
      </c>
      <c r="C26" s="7" t="s">
        <v>298</v>
      </c>
      <c r="D26" s="7" t="s">
        <v>61</v>
      </c>
      <c r="E26" s="9">
        <v>69</v>
      </c>
      <c r="F26" s="9">
        <v>4</v>
      </c>
      <c r="G26" s="9">
        <v>1</v>
      </c>
      <c r="H26" s="11">
        <v>157.999999</v>
      </c>
      <c r="I26" s="7" t="s">
        <v>102</v>
      </c>
    </row>
    <row r="27" spans="1:9" ht="21" customHeight="1">
      <c r="A27" s="7" t="s">
        <v>42</v>
      </c>
      <c r="B27" s="7" t="s">
        <v>104</v>
      </c>
      <c r="C27" s="7" t="s">
        <v>300</v>
      </c>
      <c r="D27" s="7" t="s">
        <v>61</v>
      </c>
      <c r="E27" s="9">
        <v>180</v>
      </c>
      <c r="F27" s="9">
        <v>3</v>
      </c>
      <c r="G27" s="9">
        <v>0</v>
      </c>
      <c r="H27" s="11">
        <v>0</v>
      </c>
      <c r="I27" s="7" t="s">
        <v>104</v>
      </c>
    </row>
    <row r="28" spans="1:9" ht="21" customHeight="1">
      <c r="A28" s="7" t="s">
        <v>42</v>
      </c>
      <c r="B28" s="7" t="s">
        <v>106</v>
      </c>
      <c r="C28" s="7" t="s">
        <v>432</v>
      </c>
      <c r="D28" s="7" t="s">
        <v>61</v>
      </c>
      <c r="E28" s="9">
        <v>14</v>
      </c>
      <c r="F28" s="9">
        <v>0</v>
      </c>
      <c r="G28" s="9">
        <v>0</v>
      </c>
      <c r="H28" s="11">
        <v>0</v>
      </c>
      <c r="I28" s="7" t="s">
        <v>106</v>
      </c>
    </row>
    <row r="29" spans="1:9" ht="21" customHeight="1">
      <c r="A29" s="7" t="s">
        <v>42</v>
      </c>
      <c r="B29" s="7" t="s">
        <v>108</v>
      </c>
      <c r="C29" s="7" t="s">
        <v>293</v>
      </c>
      <c r="D29" s="7" t="s">
        <v>61</v>
      </c>
      <c r="E29" s="9">
        <v>198</v>
      </c>
      <c r="F29" s="9">
        <v>0</v>
      </c>
      <c r="G29" s="9">
        <v>0</v>
      </c>
      <c r="H29" s="11">
        <v>0</v>
      </c>
      <c r="I29" s="7" t="s">
        <v>108</v>
      </c>
    </row>
    <row r="30" spans="1:9" ht="21" customHeight="1">
      <c r="A30" s="7" t="s">
        <v>42</v>
      </c>
      <c r="B30" s="7" t="s">
        <v>110</v>
      </c>
      <c r="C30" s="7" t="s">
        <v>433</v>
      </c>
      <c r="D30" s="7" t="s">
        <v>61</v>
      </c>
      <c r="E30" s="9">
        <v>17</v>
      </c>
      <c r="F30" s="9">
        <v>0</v>
      </c>
      <c r="G30" s="9">
        <v>0</v>
      </c>
      <c r="H30" s="11">
        <v>0</v>
      </c>
      <c r="I30" s="7" t="s">
        <v>110</v>
      </c>
    </row>
    <row r="31" spans="1:9" ht="21" customHeight="1">
      <c r="A31" s="7" t="s">
        <v>42</v>
      </c>
      <c r="B31" s="7" t="s">
        <v>112</v>
      </c>
      <c r="C31" s="7" t="s">
        <v>294</v>
      </c>
      <c r="D31" s="7" t="s">
        <v>61</v>
      </c>
      <c r="E31" s="9">
        <v>578</v>
      </c>
      <c r="F31" s="9">
        <v>21</v>
      </c>
      <c r="G31" s="9">
        <v>0</v>
      </c>
      <c r="H31" s="11">
        <v>0</v>
      </c>
      <c r="I31" s="7" t="s">
        <v>112</v>
      </c>
    </row>
    <row r="32" spans="1:9" ht="21" customHeight="1">
      <c r="A32" s="7" t="s">
        <v>42</v>
      </c>
      <c r="B32" s="7" t="s">
        <v>94</v>
      </c>
      <c r="C32" s="7" t="s">
        <v>95</v>
      </c>
      <c r="D32" s="7" t="s">
        <v>61</v>
      </c>
      <c r="E32" s="9">
        <v>3298</v>
      </c>
      <c r="F32" s="9">
        <v>110</v>
      </c>
      <c r="G32" s="9">
        <v>0</v>
      </c>
      <c r="H32" s="11">
        <v>0</v>
      </c>
      <c r="I32" s="7" t="s">
        <v>94</v>
      </c>
    </row>
    <row r="33" spans="1:9" ht="21" customHeight="1">
      <c r="A33" s="7" t="s">
        <v>42</v>
      </c>
      <c r="B33" s="7" t="s">
        <v>114</v>
      </c>
      <c r="C33" s="7" t="s">
        <v>518</v>
      </c>
      <c r="D33" s="7" t="s">
        <v>61</v>
      </c>
      <c r="E33" s="9">
        <v>21</v>
      </c>
      <c r="F33" s="9">
        <v>0</v>
      </c>
      <c r="G33" s="9">
        <v>0</v>
      </c>
      <c r="H33" s="11">
        <v>0</v>
      </c>
      <c r="I33" s="7" t="s">
        <v>114</v>
      </c>
    </row>
    <row r="34" spans="1:9" ht="21" customHeight="1">
      <c r="A34" s="7" t="s">
        <v>42</v>
      </c>
      <c r="B34" s="7" t="s">
        <v>116</v>
      </c>
      <c r="C34" s="7" t="s">
        <v>434</v>
      </c>
      <c r="D34" s="7" t="s">
        <v>61</v>
      </c>
      <c r="E34" s="9">
        <v>49</v>
      </c>
      <c r="F34" s="9">
        <v>0</v>
      </c>
      <c r="G34" s="9">
        <v>0</v>
      </c>
      <c r="H34" s="11">
        <v>0</v>
      </c>
      <c r="I34" s="7" t="s">
        <v>116</v>
      </c>
    </row>
    <row r="35" spans="1:9" ht="21" customHeight="1">
      <c r="A35" s="7" t="s">
        <v>43</v>
      </c>
      <c r="B35" s="7" t="s">
        <v>117</v>
      </c>
      <c r="C35" s="7" t="s">
        <v>492</v>
      </c>
      <c r="D35" s="7" t="s">
        <v>61</v>
      </c>
      <c r="E35" s="9">
        <v>30202</v>
      </c>
      <c r="F35" s="9">
        <v>1222</v>
      </c>
      <c r="G35" s="9">
        <v>28</v>
      </c>
      <c r="H35" s="11">
        <v>27606.844086000001</v>
      </c>
      <c r="I35" s="7" t="s">
        <v>117</v>
      </c>
    </row>
    <row r="36" spans="1:9" ht="21" customHeight="1">
      <c r="A36" s="7" t="s">
        <v>43</v>
      </c>
      <c r="B36" s="7" t="s">
        <v>121</v>
      </c>
      <c r="C36" s="7" t="s">
        <v>122</v>
      </c>
      <c r="D36" s="7" t="s">
        <v>61</v>
      </c>
      <c r="E36" s="9">
        <v>21641</v>
      </c>
      <c r="F36" s="9">
        <v>1013</v>
      </c>
      <c r="G36" s="9">
        <v>58</v>
      </c>
      <c r="H36" s="11">
        <v>18855.903426000001</v>
      </c>
      <c r="I36" s="7" t="s">
        <v>121</v>
      </c>
    </row>
    <row r="37" spans="1:9" ht="21" customHeight="1">
      <c r="A37" s="7" t="s">
        <v>43</v>
      </c>
      <c r="B37" s="7" t="s">
        <v>119</v>
      </c>
      <c r="C37" s="7" t="s">
        <v>435</v>
      </c>
      <c r="D37" s="7" t="s">
        <v>61</v>
      </c>
      <c r="E37" s="9">
        <v>12339</v>
      </c>
      <c r="F37" s="9">
        <v>486</v>
      </c>
      <c r="G37" s="9">
        <v>16</v>
      </c>
      <c r="H37" s="11">
        <v>11528.500007000001</v>
      </c>
      <c r="I37" s="7" t="s">
        <v>119</v>
      </c>
    </row>
    <row r="38" spans="1:9" ht="21" customHeight="1">
      <c r="A38" s="7" t="s">
        <v>43</v>
      </c>
      <c r="B38" s="7" t="s">
        <v>436</v>
      </c>
      <c r="C38" s="7" t="s">
        <v>437</v>
      </c>
      <c r="D38" s="7" t="s">
        <v>61</v>
      </c>
      <c r="E38" s="9">
        <v>5202</v>
      </c>
      <c r="F38" s="9">
        <v>385</v>
      </c>
      <c r="G38" s="9">
        <v>10</v>
      </c>
      <c r="H38" s="11">
        <v>3403.100003</v>
      </c>
      <c r="I38" s="7" t="s">
        <v>436</v>
      </c>
    </row>
    <row r="39" spans="1:9" ht="21" customHeight="1">
      <c r="A39" s="7" t="s">
        <v>44</v>
      </c>
      <c r="B39" s="7" t="s">
        <v>127</v>
      </c>
      <c r="C39" s="7" t="s">
        <v>128</v>
      </c>
      <c r="D39" s="7" t="s">
        <v>61</v>
      </c>
      <c r="E39" s="9">
        <v>6033</v>
      </c>
      <c r="F39" s="9">
        <v>296</v>
      </c>
      <c r="G39" s="9">
        <v>10</v>
      </c>
      <c r="H39" s="11">
        <v>17634.999996999999</v>
      </c>
      <c r="I39" s="7" t="s">
        <v>127</v>
      </c>
    </row>
    <row r="40" spans="1:9" ht="21" customHeight="1">
      <c r="A40" s="7" t="s">
        <v>44</v>
      </c>
      <c r="B40" s="7" t="s">
        <v>123</v>
      </c>
      <c r="C40" s="7" t="s">
        <v>124</v>
      </c>
      <c r="D40" s="7" t="s">
        <v>61</v>
      </c>
      <c r="E40" s="9">
        <v>1051</v>
      </c>
      <c r="F40" s="9">
        <v>45</v>
      </c>
      <c r="G40" s="9">
        <v>1</v>
      </c>
      <c r="H40" s="11">
        <v>6144.9999989999997</v>
      </c>
      <c r="I40" s="7" t="s">
        <v>123</v>
      </c>
    </row>
    <row r="41" spans="1:9" ht="21" customHeight="1">
      <c r="A41" s="7" t="s">
        <v>44</v>
      </c>
      <c r="B41" s="7" t="s">
        <v>129</v>
      </c>
      <c r="C41" s="7" t="s">
        <v>130</v>
      </c>
      <c r="D41" s="7" t="s">
        <v>61</v>
      </c>
      <c r="E41" s="9">
        <v>4107</v>
      </c>
      <c r="F41" s="9">
        <v>98</v>
      </c>
      <c r="G41" s="9">
        <v>3</v>
      </c>
      <c r="H41" s="11">
        <v>3734.9999969999999</v>
      </c>
      <c r="I41" s="7" t="s">
        <v>129</v>
      </c>
    </row>
    <row r="42" spans="1:9" ht="21" customHeight="1">
      <c r="A42" s="7" t="s">
        <v>44</v>
      </c>
      <c r="B42" s="7" t="s">
        <v>131</v>
      </c>
      <c r="C42" s="7" t="s">
        <v>306</v>
      </c>
      <c r="D42" s="7" t="s">
        <v>61</v>
      </c>
      <c r="E42" s="9">
        <v>2445</v>
      </c>
      <c r="F42" s="9">
        <v>190</v>
      </c>
      <c r="G42" s="9">
        <v>16</v>
      </c>
      <c r="H42" s="11">
        <v>3464.9999990000001</v>
      </c>
      <c r="I42" s="7" t="s">
        <v>131</v>
      </c>
    </row>
    <row r="43" spans="1:9" ht="21" customHeight="1">
      <c r="A43" s="7" t="s">
        <v>44</v>
      </c>
      <c r="B43" s="7" t="s">
        <v>133</v>
      </c>
      <c r="C43" s="7" t="s">
        <v>307</v>
      </c>
      <c r="D43" s="7" t="s">
        <v>61</v>
      </c>
      <c r="E43" s="9">
        <v>1247</v>
      </c>
      <c r="F43" s="9">
        <v>27</v>
      </c>
      <c r="G43" s="9">
        <v>1</v>
      </c>
      <c r="H43" s="11">
        <v>3172.4999990000001</v>
      </c>
      <c r="I43" s="7" t="s">
        <v>133</v>
      </c>
    </row>
    <row r="44" spans="1:9" ht="21" customHeight="1">
      <c r="A44" s="7" t="s">
        <v>44</v>
      </c>
      <c r="B44" s="7" t="s">
        <v>125</v>
      </c>
      <c r="C44" s="7" t="s">
        <v>126</v>
      </c>
      <c r="D44" s="7" t="s">
        <v>61</v>
      </c>
      <c r="E44" s="9">
        <v>6467</v>
      </c>
      <c r="F44" s="9">
        <v>375</v>
      </c>
      <c r="G44" s="9">
        <v>1</v>
      </c>
      <c r="H44" s="11">
        <v>2995.0000009999999</v>
      </c>
      <c r="I44" s="7" t="s">
        <v>125</v>
      </c>
    </row>
    <row r="45" spans="1:9" ht="21" customHeight="1">
      <c r="A45" s="7" t="s">
        <v>44</v>
      </c>
      <c r="B45" s="7" t="s">
        <v>135</v>
      </c>
      <c r="C45" s="7" t="s">
        <v>305</v>
      </c>
      <c r="D45" s="7" t="s">
        <v>61</v>
      </c>
      <c r="E45" s="9">
        <v>1089</v>
      </c>
      <c r="F45" s="9">
        <v>37</v>
      </c>
      <c r="G45" s="9">
        <v>2</v>
      </c>
      <c r="H45" s="11">
        <v>272.50220999999999</v>
      </c>
      <c r="I45" s="7" t="s">
        <v>135</v>
      </c>
    </row>
    <row r="46" spans="1:9" ht="21" customHeight="1">
      <c r="A46" s="7" t="s">
        <v>45</v>
      </c>
      <c r="B46" s="7" t="s">
        <v>139</v>
      </c>
      <c r="C46" s="7" t="s">
        <v>140</v>
      </c>
      <c r="D46" s="7" t="s">
        <v>61</v>
      </c>
      <c r="E46" s="9">
        <v>28354</v>
      </c>
      <c r="F46" s="9">
        <v>1841</v>
      </c>
      <c r="G46" s="9">
        <v>88</v>
      </c>
      <c r="H46" s="11">
        <v>21982.499997999999</v>
      </c>
      <c r="I46" s="7" t="s">
        <v>139</v>
      </c>
    </row>
    <row r="47" spans="1:9" ht="21" customHeight="1">
      <c r="A47" s="7" t="s">
        <v>45</v>
      </c>
      <c r="B47" s="7" t="s">
        <v>143</v>
      </c>
      <c r="C47" s="7" t="s">
        <v>144</v>
      </c>
      <c r="D47" s="7" t="s">
        <v>61</v>
      </c>
      <c r="E47" s="9">
        <v>4359</v>
      </c>
      <c r="F47" s="9">
        <v>200</v>
      </c>
      <c r="G47" s="9">
        <v>22</v>
      </c>
      <c r="H47" s="11">
        <v>4958.1716470000001</v>
      </c>
      <c r="I47" s="7" t="s">
        <v>143</v>
      </c>
    </row>
    <row r="48" spans="1:9" ht="21" customHeight="1">
      <c r="A48" s="7" t="s">
        <v>45</v>
      </c>
      <c r="B48" s="7" t="s">
        <v>159</v>
      </c>
      <c r="C48" s="7" t="s">
        <v>316</v>
      </c>
      <c r="D48" s="7" t="s">
        <v>61</v>
      </c>
      <c r="E48" s="9">
        <v>251</v>
      </c>
      <c r="F48" s="9">
        <v>8</v>
      </c>
      <c r="G48" s="9">
        <v>1</v>
      </c>
      <c r="H48" s="11">
        <v>3214.6685189999998</v>
      </c>
      <c r="I48" s="7" t="s">
        <v>159</v>
      </c>
    </row>
    <row r="49" spans="1:9" ht="21" customHeight="1">
      <c r="A49" s="7" t="s">
        <v>45</v>
      </c>
      <c r="B49" s="7" t="s">
        <v>164</v>
      </c>
      <c r="C49" s="7" t="s">
        <v>317</v>
      </c>
      <c r="D49" s="7" t="s">
        <v>61</v>
      </c>
      <c r="E49" s="9">
        <v>1366</v>
      </c>
      <c r="F49" s="9">
        <v>48</v>
      </c>
      <c r="G49" s="9">
        <v>1</v>
      </c>
      <c r="H49" s="11">
        <v>1474.9999989999999</v>
      </c>
      <c r="I49" s="7" t="s">
        <v>164</v>
      </c>
    </row>
    <row r="50" spans="1:9" ht="21" customHeight="1">
      <c r="A50" s="7" t="s">
        <v>45</v>
      </c>
      <c r="B50" s="7" t="s">
        <v>147</v>
      </c>
      <c r="C50" s="7" t="s">
        <v>308</v>
      </c>
      <c r="D50" s="7" t="s">
        <v>61</v>
      </c>
      <c r="E50" s="9">
        <v>62</v>
      </c>
      <c r="F50" s="9">
        <v>0</v>
      </c>
      <c r="G50" s="9">
        <v>0</v>
      </c>
      <c r="H50" s="11">
        <v>0</v>
      </c>
      <c r="I50" s="7" t="s">
        <v>147</v>
      </c>
    </row>
    <row r="51" spans="1:9" ht="21" customHeight="1">
      <c r="A51" s="7" t="s">
        <v>45</v>
      </c>
      <c r="B51" s="7" t="s">
        <v>141</v>
      </c>
      <c r="C51" s="7" t="s">
        <v>142</v>
      </c>
      <c r="D51" s="7" t="s">
        <v>61</v>
      </c>
      <c r="E51" s="9">
        <v>659</v>
      </c>
      <c r="F51" s="9">
        <v>1</v>
      </c>
      <c r="G51" s="9">
        <v>0</v>
      </c>
      <c r="H51" s="11">
        <v>0</v>
      </c>
      <c r="I51" s="7" t="s">
        <v>141</v>
      </c>
    </row>
    <row r="52" spans="1:9" ht="21" customHeight="1">
      <c r="A52" s="7" t="s">
        <v>45</v>
      </c>
      <c r="B52" s="7" t="s">
        <v>149</v>
      </c>
      <c r="C52" s="7" t="s">
        <v>493</v>
      </c>
      <c r="D52" s="7" t="s">
        <v>151</v>
      </c>
      <c r="E52" s="9">
        <v>5</v>
      </c>
      <c r="F52" s="9">
        <v>0</v>
      </c>
      <c r="G52" s="9">
        <v>0</v>
      </c>
      <c r="H52" s="11">
        <v>0</v>
      </c>
      <c r="I52" s="7" t="s">
        <v>152</v>
      </c>
    </row>
    <row r="53" spans="1:9" ht="21" customHeight="1">
      <c r="A53" s="7" t="s">
        <v>45</v>
      </c>
      <c r="B53" s="7" t="s">
        <v>153</v>
      </c>
      <c r="C53" s="7" t="s">
        <v>312</v>
      </c>
      <c r="D53" s="7" t="s">
        <v>61</v>
      </c>
      <c r="E53" s="9">
        <v>156</v>
      </c>
      <c r="F53" s="9">
        <v>0</v>
      </c>
      <c r="G53" s="9">
        <v>0</v>
      </c>
      <c r="H53" s="11">
        <v>0</v>
      </c>
      <c r="I53" s="7" t="s">
        <v>153</v>
      </c>
    </row>
    <row r="54" spans="1:9" ht="21" customHeight="1">
      <c r="A54" s="7" t="s">
        <v>45</v>
      </c>
      <c r="B54" s="7" t="s">
        <v>313</v>
      </c>
      <c r="C54" s="7" t="s">
        <v>314</v>
      </c>
      <c r="D54" s="7" t="s">
        <v>210</v>
      </c>
      <c r="E54" s="9">
        <v>433</v>
      </c>
      <c r="F54" s="9">
        <v>4</v>
      </c>
      <c r="G54" s="9">
        <v>0</v>
      </c>
      <c r="H54" s="11">
        <v>0</v>
      </c>
      <c r="I54" s="7" t="s">
        <v>313</v>
      </c>
    </row>
    <row r="55" spans="1:9" ht="21" customHeight="1">
      <c r="A55" s="7" t="s">
        <v>45</v>
      </c>
      <c r="B55" s="7" t="s">
        <v>137</v>
      </c>
      <c r="C55" s="7" t="s">
        <v>138</v>
      </c>
      <c r="D55" s="7" t="s">
        <v>61</v>
      </c>
      <c r="E55" s="9">
        <v>3085</v>
      </c>
      <c r="F55" s="9">
        <v>58</v>
      </c>
      <c r="G55" s="9">
        <v>0</v>
      </c>
      <c r="H55" s="11">
        <v>0</v>
      </c>
      <c r="I55" s="7" t="s">
        <v>137</v>
      </c>
    </row>
    <row r="56" spans="1:9" ht="21" customHeight="1">
      <c r="A56" s="7" t="s">
        <v>45</v>
      </c>
      <c r="B56" s="7" t="s">
        <v>145</v>
      </c>
      <c r="C56" s="7" t="s">
        <v>146</v>
      </c>
      <c r="D56" s="7" t="s">
        <v>61</v>
      </c>
      <c r="E56" s="9">
        <v>322</v>
      </c>
      <c r="F56" s="9">
        <v>20</v>
      </c>
      <c r="G56" s="9">
        <v>0</v>
      </c>
      <c r="H56" s="11">
        <v>0</v>
      </c>
      <c r="I56" s="7" t="s">
        <v>145</v>
      </c>
    </row>
    <row r="57" spans="1:9" ht="21" customHeight="1">
      <c r="A57" s="7" t="s">
        <v>45</v>
      </c>
      <c r="B57" s="7" t="s">
        <v>155</v>
      </c>
      <c r="C57" s="7" t="s">
        <v>315</v>
      </c>
      <c r="D57" s="7" t="s">
        <v>61</v>
      </c>
      <c r="E57" s="9">
        <v>759</v>
      </c>
      <c r="F57" s="9">
        <v>0</v>
      </c>
      <c r="G57" s="9">
        <v>0</v>
      </c>
      <c r="H57" s="11">
        <v>0</v>
      </c>
      <c r="I57" s="7" t="s">
        <v>155</v>
      </c>
    </row>
    <row r="58" spans="1:9" ht="21" customHeight="1">
      <c r="A58" s="7" t="s">
        <v>45</v>
      </c>
      <c r="B58" s="7" t="s">
        <v>157</v>
      </c>
      <c r="C58" s="7" t="s">
        <v>440</v>
      </c>
      <c r="D58" s="7" t="s">
        <v>61</v>
      </c>
      <c r="E58" s="9">
        <v>60</v>
      </c>
      <c r="F58" s="9">
        <v>0</v>
      </c>
      <c r="G58" s="9">
        <v>0</v>
      </c>
      <c r="H58" s="11">
        <v>0</v>
      </c>
      <c r="I58" s="7" t="s">
        <v>157</v>
      </c>
    </row>
    <row r="59" spans="1:9" ht="21" customHeight="1">
      <c r="A59" s="7" t="s">
        <v>45</v>
      </c>
      <c r="B59" s="7" t="s">
        <v>441</v>
      </c>
      <c r="C59" s="7" t="s">
        <v>442</v>
      </c>
      <c r="D59" s="7" t="s">
        <v>61</v>
      </c>
      <c r="E59" s="9">
        <v>1416</v>
      </c>
      <c r="F59" s="9">
        <v>31</v>
      </c>
      <c r="G59" s="9">
        <v>0</v>
      </c>
      <c r="H59" s="11">
        <v>0</v>
      </c>
      <c r="I59" s="7" t="s">
        <v>441</v>
      </c>
    </row>
    <row r="60" spans="1:9" ht="21" customHeight="1">
      <c r="A60" s="7" t="s">
        <v>45</v>
      </c>
      <c r="B60" s="7" t="s">
        <v>160</v>
      </c>
      <c r="C60" s="7" t="s">
        <v>443</v>
      </c>
      <c r="D60" s="7" t="s">
        <v>61</v>
      </c>
      <c r="E60" s="9">
        <v>71</v>
      </c>
      <c r="F60" s="9">
        <v>0</v>
      </c>
      <c r="G60" s="9">
        <v>0</v>
      </c>
      <c r="H60" s="11">
        <v>0</v>
      </c>
      <c r="I60" s="7" t="s">
        <v>160</v>
      </c>
    </row>
    <row r="61" spans="1:9" ht="21" customHeight="1">
      <c r="A61" s="7" t="s">
        <v>45</v>
      </c>
      <c r="B61" s="7" t="s">
        <v>162</v>
      </c>
      <c r="C61" s="7" t="s">
        <v>309</v>
      </c>
      <c r="D61" s="7" t="s">
        <v>61</v>
      </c>
      <c r="E61" s="9">
        <v>37</v>
      </c>
      <c r="F61" s="9">
        <v>0</v>
      </c>
      <c r="G61" s="9">
        <v>0</v>
      </c>
      <c r="H61" s="11">
        <v>0</v>
      </c>
      <c r="I61" s="7" t="s">
        <v>162</v>
      </c>
    </row>
    <row r="62" spans="1:9" ht="21" customHeight="1">
      <c r="A62" s="7" t="s">
        <v>45</v>
      </c>
      <c r="B62" s="7" t="s">
        <v>166</v>
      </c>
      <c r="C62" s="7" t="s">
        <v>318</v>
      </c>
      <c r="D62" s="7" t="s">
        <v>61</v>
      </c>
      <c r="E62" s="9">
        <v>62</v>
      </c>
      <c r="F62" s="9">
        <v>0</v>
      </c>
      <c r="G62" s="9">
        <v>0</v>
      </c>
      <c r="H62" s="11">
        <v>0</v>
      </c>
      <c r="I62" s="7" t="s">
        <v>166</v>
      </c>
    </row>
    <row r="63" spans="1:9" ht="21" customHeight="1">
      <c r="A63" s="7" t="s">
        <v>45</v>
      </c>
      <c r="B63" s="7" t="s">
        <v>168</v>
      </c>
      <c r="C63" s="7" t="s">
        <v>494</v>
      </c>
      <c r="D63" s="7" t="s">
        <v>61</v>
      </c>
      <c r="E63" s="9">
        <v>349</v>
      </c>
      <c r="F63" s="9">
        <v>6</v>
      </c>
      <c r="G63" s="9">
        <v>0</v>
      </c>
      <c r="H63" s="11">
        <v>0</v>
      </c>
      <c r="I63" s="7" t="s">
        <v>169</v>
      </c>
    </row>
    <row r="64" spans="1:9" ht="21" customHeight="1">
      <c r="A64" s="7" t="s">
        <v>46</v>
      </c>
      <c r="B64" s="7" t="s">
        <v>171</v>
      </c>
      <c r="C64" s="7" t="s">
        <v>172</v>
      </c>
      <c r="D64" s="7" t="s">
        <v>61</v>
      </c>
      <c r="E64" s="9">
        <v>16778</v>
      </c>
      <c r="F64" s="9">
        <v>368</v>
      </c>
      <c r="G64" s="9">
        <v>20</v>
      </c>
      <c r="H64" s="11">
        <v>8220.0000010000003</v>
      </c>
      <c r="I64" s="7" t="s">
        <v>171</v>
      </c>
    </row>
    <row r="65" spans="1:9" ht="21" customHeight="1">
      <c r="A65" s="7" t="s">
        <v>46</v>
      </c>
      <c r="B65" s="7" t="s">
        <v>173</v>
      </c>
      <c r="C65" s="7" t="s">
        <v>445</v>
      </c>
      <c r="D65" s="7" t="s">
        <v>61</v>
      </c>
      <c r="E65" s="9">
        <v>1261</v>
      </c>
      <c r="F65" s="9">
        <v>21</v>
      </c>
      <c r="G65" s="9">
        <v>2</v>
      </c>
      <c r="H65" s="11">
        <v>4250</v>
      </c>
      <c r="I65" s="7" t="s">
        <v>173</v>
      </c>
    </row>
    <row r="66" spans="1:9" ht="21" customHeight="1">
      <c r="A66" s="7" t="s">
        <v>46</v>
      </c>
      <c r="B66" s="7" t="s">
        <v>175</v>
      </c>
      <c r="C66" s="7" t="s">
        <v>176</v>
      </c>
      <c r="D66" s="7" t="s">
        <v>61</v>
      </c>
      <c r="E66" s="9">
        <v>4182</v>
      </c>
      <c r="F66" s="9">
        <v>30</v>
      </c>
      <c r="G66" s="9">
        <v>1</v>
      </c>
      <c r="H66" s="11">
        <v>799.99999800000001</v>
      </c>
      <c r="I66" s="7" t="s">
        <v>175</v>
      </c>
    </row>
    <row r="67" spans="1:9" ht="21" customHeight="1">
      <c r="A67" s="7" t="s">
        <v>46</v>
      </c>
      <c r="B67" s="7" t="s">
        <v>177</v>
      </c>
      <c r="C67" s="7" t="s">
        <v>178</v>
      </c>
      <c r="D67" s="7" t="s">
        <v>61</v>
      </c>
      <c r="E67" s="9">
        <v>609</v>
      </c>
      <c r="F67" s="9">
        <v>24</v>
      </c>
      <c r="G67" s="9">
        <v>3</v>
      </c>
      <c r="H67" s="11">
        <v>590.834566</v>
      </c>
      <c r="I67" s="7" t="s">
        <v>177</v>
      </c>
    </row>
    <row r="68" spans="1:9" ht="21" customHeight="1">
      <c r="A68" s="7" t="s">
        <v>46</v>
      </c>
      <c r="B68" s="7" t="s">
        <v>320</v>
      </c>
      <c r="C68" s="7" t="s">
        <v>321</v>
      </c>
      <c r="D68" s="7" t="s">
        <v>61</v>
      </c>
      <c r="E68" s="9">
        <v>715</v>
      </c>
      <c r="F68" s="9">
        <v>10</v>
      </c>
      <c r="G68" s="9">
        <v>1</v>
      </c>
      <c r="H68" s="11">
        <v>295</v>
      </c>
      <c r="I68" s="7" t="s">
        <v>320</v>
      </c>
    </row>
    <row r="69" spans="1:9" ht="21" customHeight="1">
      <c r="A69" s="7" t="s">
        <v>47</v>
      </c>
      <c r="B69" s="7" t="s">
        <v>200</v>
      </c>
      <c r="C69" s="7" t="s">
        <v>454</v>
      </c>
      <c r="D69" s="7" t="s">
        <v>181</v>
      </c>
      <c r="E69" s="9">
        <v>643</v>
      </c>
      <c r="F69" s="9">
        <v>18</v>
      </c>
      <c r="G69" s="9">
        <v>3</v>
      </c>
      <c r="H69" s="11">
        <v>715</v>
      </c>
      <c r="I69" s="7" t="s">
        <v>200</v>
      </c>
    </row>
    <row r="70" spans="1:9" ht="21" customHeight="1">
      <c r="A70" s="7" t="s">
        <v>47</v>
      </c>
      <c r="B70" s="7" t="s">
        <v>198</v>
      </c>
      <c r="C70" s="7" t="s">
        <v>496</v>
      </c>
      <c r="D70" s="7" t="s">
        <v>181</v>
      </c>
      <c r="E70" s="9">
        <v>1738</v>
      </c>
      <c r="F70" s="9">
        <v>18</v>
      </c>
      <c r="G70" s="9">
        <v>1</v>
      </c>
      <c r="H70" s="11">
        <v>445.000001</v>
      </c>
      <c r="I70" s="7" t="s">
        <v>198</v>
      </c>
    </row>
    <row r="71" spans="1:9" ht="21" customHeight="1">
      <c r="A71" s="7" t="s">
        <v>47</v>
      </c>
      <c r="B71" s="7" t="s">
        <v>179</v>
      </c>
      <c r="C71" s="7" t="s">
        <v>497</v>
      </c>
      <c r="D71" s="7" t="s">
        <v>181</v>
      </c>
      <c r="E71" s="9">
        <v>522</v>
      </c>
      <c r="F71" s="9">
        <v>15</v>
      </c>
      <c r="G71" s="9">
        <v>1</v>
      </c>
      <c r="H71" s="11">
        <v>245.000001</v>
      </c>
      <c r="I71" s="7" t="s">
        <v>179</v>
      </c>
    </row>
    <row r="72" spans="1:9" ht="21" customHeight="1">
      <c r="A72" s="7" t="s">
        <v>47</v>
      </c>
      <c r="B72" s="7" t="s">
        <v>182</v>
      </c>
      <c r="C72" s="7" t="s">
        <v>446</v>
      </c>
      <c r="D72" s="7" t="s">
        <v>181</v>
      </c>
      <c r="E72" s="9">
        <v>1492</v>
      </c>
      <c r="F72" s="9">
        <v>20</v>
      </c>
      <c r="G72" s="9">
        <v>0</v>
      </c>
      <c r="H72" s="11">
        <v>0</v>
      </c>
      <c r="I72" s="7" t="s">
        <v>182</v>
      </c>
    </row>
    <row r="73" spans="1:9" ht="21" customHeight="1">
      <c r="A73" s="7" t="s">
        <v>47</v>
      </c>
      <c r="B73" s="7" t="s">
        <v>447</v>
      </c>
      <c r="C73" s="7" t="s">
        <v>448</v>
      </c>
      <c r="D73" s="7" t="s">
        <v>181</v>
      </c>
      <c r="E73" s="9">
        <v>376</v>
      </c>
      <c r="F73" s="9">
        <v>5</v>
      </c>
      <c r="G73" s="9">
        <v>0</v>
      </c>
      <c r="H73" s="11">
        <v>0</v>
      </c>
      <c r="I73" s="7" t="s">
        <v>447</v>
      </c>
    </row>
    <row r="74" spans="1:9" ht="21" customHeight="1">
      <c r="A74" s="7" t="s">
        <v>47</v>
      </c>
      <c r="B74" s="7" t="s">
        <v>190</v>
      </c>
      <c r="C74" s="7" t="s">
        <v>330</v>
      </c>
      <c r="D74" s="7" t="s">
        <v>181</v>
      </c>
      <c r="E74" s="9">
        <v>435</v>
      </c>
      <c r="F74" s="9">
        <v>21</v>
      </c>
      <c r="G74" s="9">
        <v>0</v>
      </c>
      <c r="H74" s="11">
        <v>0</v>
      </c>
      <c r="I74" s="7" t="s">
        <v>190</v>
      </c>
    </row>
    <row r="75" spans="1:9" ht="21" customHeight="1">
      <c r="A75" s="7" t="s">
        <v>47</v>
      </c>
      <c r="B75" s="7" t="s">
        <v>192</v>
      </c>
      <c r="C75" s="7" t="s">
        <v>449</v>
      </c>
      <c r="D75" s="7" t="s">
        <v>181</v>
      </c>
      <c r="E75" s="9">
        <v>568</v>
      </c>
      <c r="F75" s="9">
        <v>9</v>
      </c>
      <c r="G75" s="9">
        <v>0</v>
      </c>
      <c r="H75" s="11">
        <v>0</v>
      </c>
      <c r="I75" s="7" t="s">
        <v>192</v>
      </c>
    </row>
    <row r="76" spans="1:9" ht="21" customHeight="1">
      <c r="A76" s="7" t="s">
        <v>47</v>
      </c>
      <c r="B76" s="7" t="s">
        <v>450</v>
      </c>
      <c r="C76" s="7" t="s">
        <v>451</v>
      </c>
      <c r="D76" s="7" t="s">
        <v>181</v>
      </c>
      <c r="E76" s="9">
        <v>838</v>
      </c>
      <c r="F76" s="9">
        <v>20</v>
      </c>
      <c r="G76" s="9">
        <v>0</v>
      </c>
      <c r="H76" s="11">
        <v>0</v>
      </c>
      <c r="I76" s="7" t="s">
        <v>450</v>
      </c>
    </row>
    <row r="77" spans="1:9" ht="21" customHeight="1">
      <c r="A77" s="7" t="s">
        <v>47</v>
      </c>
      <c r="B77" s="7" t="s">
        <v>521</v>
      </c>
      <c r="C77" s="7" t="s">
        <v>522</v>
      </c>
      <c r="D77" s="7" t="s">
        <v>181</v>
      </c>
      <c r="E77" s="9">
        <v>145</v>
      </c>
      <c r="F77" s="9">
        <v>2</v>
      </c>
      <c r="G77" s="9">
        <v>0</v>
      </c>
      <c r="H77" s="11">
        <v>0</v>
      </c>
      <c r="I77" s="7" t="s">
        <v>521</v>
      </c>
    </row>
    <row r="78" spans="1:9" ht="21" customHeight="1">
      <c r="A78" s="7" t="s">
        <v>47</v>
      </c>
      <c r="B78" s="7" t="s">
        <v>184</v>
      </c>
      <c r="C78" s="7" t="s">
        <v>495</v>
      </c>
      <c r="D78" s="7" t="s">
        <v>181</v>
      </c>
      <c r="E78" s="9">
        <v>838</v>
      </c>
      <c r="F78" s="9">
        <v>13</v>
      </c>
      <c r="G78" s="9">
        <v>0</v>
      </c>
      <c r="H78" s="11">
        <v>0</v>
      </c>
      <c r="I78" s="7" t="s">
        <v>184</v>
      </c>
    </row>
    <row r="79" spans="1:9" ht="21" customHeight="1">
      <c r="A79" s="7" t="s">
        <v>47</v>
      </c>
      <c r="B79" s="7" t="s">
        <v>194</v>
      </c>
      <c r="C79" s="7" t="s">
        <v>331</v>
      </c>
      <c r="D79" s="7" t="s">
        <v>181</v>
      </c>
      <c r="E79" s="9">
        <v>1037</v>
      </c>
      <c r="F79" s="9">
        <v>23</v>
      </c>
      <c r="G79" s="9">
        <v>0</v>
      </c>
      <c r="H79" s="11">
        <v>0</v>
      </c>
      <c r="I79" s="7" t="s">
        <v>194</v>
      </c>
    </row>
    <row r="80" spans="1:9" ht="21" customHeight="1">
      <c r="A80" s="7" t="s">
        <v>47</v>
      </c>
      <c r="B80" s="7" t="s">
        <v>498</v>
      </c>
      <c r="C80" s="7" t="s">
        <v>523</v>
      </c>
      <c r="D80" s="7" t="s">
        <v>181</v>
      </c>
      <c r="E80" s="9">
        <v>594</v>
      </c>
      <c r="F80" s="9">
        <v>10</v>
      </c>
      <c r="G80" s="9">
        <v>0</v>
      </c>
      <c r="H80" s="11">
        <v>0</v>
      </c>
      <c r="I80" s="7" t="s">
        <v>498</v>
      </c>
    </row>
    <row r="81" spans="1:9" ht="21" customHeight="1">
      <c r="A81" s="7" t="s">
        <v>47</v>
      </c>
      <c r="B81" s="7" t="s">
        <v>186</v>
      </c>
      <c r="C81" s="7" t="s">
        <v>333</v>
      </c>
      <c r="D81" s="7" t="s">
        <v>181</v>
      </c>
      <c r="E81" s="9">
        <v>1627</v>
      </c>
      <c r="F81" s="9">
        <v>24</v>
      </c>
      <c r="G81" s="9">
        <v>0</v>
      </c>
      <c r="H81" s="11">
        <v>0</v>
      </c>
      <c r="I81" s="7" t="s">
        <v>186</v>
      </c>
    </row>
    <row r="82" spans="1:9" ht="21" customHeight="1">
      <c r="A82" s="7" t="s">
        <v>47</v>
      </c>
      <c r="B82" s="7" t="s">
        <v>196</v>
      </c>
      <c r="C82" s="7" t="s">
        <v>323</v>
      </c>
      <c r="D82" s="7" t="s">
        <v>181</v>
      </c>
      <c r="E82" s="9">
        <v>832</v>
      </c>
      <c r="F82" s="9">
        <v>58</v>
      </c>
      <c r="G82" s="9">
        <v>0</v>
      </c>
      <c r="H82" s="11">
        <v>0</v>
      </c>
      <c r="I82" s="7" t="s">
        <v>196</v>
      </c>
    </row>
    <row r="83" spans="1:9" ht="21" customHeight="1">
      <c r="A83" s="7" t="s">
        <v>47</v>
      </c>
      <c r="B83" s="7" t="s">
        <v>452</v>
      </c>
      <c r="C83" s="7" t="s">
        <v>453</v>
      </c>
      <c r="D83" s="7" t="s">
        <v>181</v>
      </c>
      <c r="E83" s="9">
        <v>165</v>
      </c>
      <c r="F83" s="9">
        <v>1</v>
      </c>
      <c r="G83" s="9">
        <v>0</v>
      </c>
      <c r="H83" s="11">
        <v>0</v>
      </c>
      <c r="I83" s="7" t="s">
        <v>452</v>
      </c>
    </row>
    <row r="84" spans="1:9" ht="21" customHeight="1">
      <c r="A84" s="7" t="s">
        <v>47</v>
      </c>
      <c r="B84" s="7" t="s">
        <v>202</v>
      </c>
      <c r="C84" s="7" t="s">
        <v>326</v>
      </c>
      <c r="D84" s="7" t="s">
        <v>181</v>
      </c>
      <c r="E84" s="9">
        <v>837</v>
      </c>
      <c r="F84" s="9">
        <v>10</v>
      </c>
      <c r="G84" s="9">
        <v>0</v>
      </c>
      <c r="H84" s="11">
        <v>0</v>
      </c>
      <c r="I84" s="7" t="s">
        <v>202</v>
      </c>
    </row>
    <row r="85" spans="1:9" ht="21" customHeight="1">
      <c r="A85" s="7" t="s">
        <v>47</v>
      </c>
      <c r="B85" s="7" t="s">
        <v>188</v>
      </c>
      <c r="C85" s="7" t="s">
        <v>189</v>
      </c>
      <c r="D85" s="7" t="s">
        <v>181</v>
      </c>
      <c r="E85" s="9">
        <v>911</v>
      </c>
      <c r="F85" s="9">
        <v>19</v>
      </c>
      <c r="G85" s="9">
        <v>0</v>
      </c>
      <c r="H85" s="11">
        <v>0</v>
      </c>
      <c r="I85" s="7" t="s">
        <v>188</v>
      </c>
    </row>
    <row r="86" spans="1:9" ht="21" customHeight="1">
      <c r="A86" s="7" t="s">
        <v>47</v>
      </c>
      <c r="B86" s="7" t="s">
        <v>204</v>
      </c>
      <c r="C86" s="7" t="s">
        <v>455</v>
      </c>
      <c r="D86" s="7" t="s">
        <v>181</v>
      </c>
      <c r="E86" s="9">
        <v>857</v>
      </c>
      <c r="F86" s="9">
        <v>56</v>
      </c>
      <c r="G86" s="9">
        <v>0</v>
      </c>
      <c r="H86" s="11">
        <v>0</v>
      </c>
      <c r="I86" s="7" t="s">
        <v>204</v>
      </c>
    </row>
    <row r="87" spans="1:9" ht="21" customHeight="1">
      <c r="A87" s="7" t="s">
        <v>47</v>
      </c>
      <c r="B87" s="7" t="s">
        <v>537</v>
      </c>
      <c r="C87" s="7" t="s">
        <v>538</v>
      </c>
      <c r="D87" s="7" t="s">
        <v>181</v>
      </c>
      <c r="E87" s="9">
        <v>504</v>
      </c>
      <c r="F87" s="9">
        <v>2</v>
      </c>
      <c r="G87" s="9">
        <v>0</v>
      </c>
      <c r="H87" s="11">
        <v>0</v>
      </c>
      <c r="I87" s="7" t="s">
        <v>537</v>
      </c>
    </row>
    <row r="88" spans="1:9" ht="21" customHeight="1">
      <c r="A88" s="7" t="s">
        <v>47</v>
      </c>
      <c r="B88" s="7" t="s">
        <v>206</v>
      </c>
      <c r="C88" s="7" t="s">
        <v>334</v>
      </c>
      <c r="D88" s="7" t="s">
        <v>181</v>
      </c>
      <c r="E88" s="9">
        <v>830</v>
      </c>
      <c r="F88" s="9">
        <v>0</v>
      </c>
      <c r="G88" s="9">
        <v>0</v>
      </c>
      <c r="H88" s="11">
        <v>0</v>
      </c>
      <c r="I88" s="7" t="s">
        <v>206</v>
      </c>
    </row>
    <row r="89" spans="1:9" ht="21" customHeight="1">
      <c r="A89" s="7" t="s">
        <v>48</v>
      </c>
      <c r="B89" s="7" t="s">
        <v>208</v>
      </c>
      <c r="C89" s="7" t="s">
        <v>457</v>
      </c>
      <c r="D89" s="7" t="s">
        <v>210</v>
      </c>
      <c r="E89" s="9">
        <v>267</v>
      </c>
      <c r="F89" s="9">
        <v>1</v>
      </c>
      <c r="G89" s="9">
        <v>0</v>
      </c>
      <c r="H89" s="11">
        <v>0</v>
      </c>
      <c r="I89" s="7" t="s">
        <v>208</v>
      </c>
    </row>
    <row r="90" spans="1:9" ht="21" customHeight="1">
      <c r="A90" s="7" t="s">
        <v>48</v>
      </c>
      <c r="B90" s="7" t="s">
        <v>211</v>
      </c>
      <c r="C90" s="7" t="s">
        <v>458</v>
      </c>
      <c r="D90" s="7" t="s">
        <v>213</v>
      </c>
      <c r="E90" s="9">
        <v>8</v>
      </c>
      <c r="F90" s="9">
        <v>0</v>
      </c>
      <c r="G90" s="9">
        <v>0</v>
      </c>
      <c r="H90" s="11">
        <v>0</v>
      </c>
      <c r="I90" s="7" t="s">
        <v>211</v>
      </c>
    </row>
    <row r="91" spans="1:9" ht="21" customHeight="1">
      <c r="A91" s="7" t="s">
        <v>48</v>
      </c>
      <c r="B91" s="7" t="s">
        <v>214</v>
      </c>
      <c r="C91" s="7" t="s">
        <v>524</v>
      </c>
      <c r="D91" s="7" t="s">
        <v>213</v>
      </c>
      <c r="E91" s="9">
        <v>4</v>
      </c>
      <c r="F91" s="9">
        <v>0</v>
      </c>
      <c r="G91" s="9">
        <v>0</v>
      </c>
      <c r="H91" s="11">
        <v>0</v>
      </c>
      <c r="I91" s="7" t="s">
        <v>214</v>
      </c>
    </row>
    <row r="92" spans="1:9" ht="21" customHeight="1">
      <c r="A92" s="7" t="s">
        <v>48</v>
      </c>
      <c r="B92" s="7" t="s">
        <v>216</v>
      </c>
      <c r="C92" s="7" t="s">
        <v>501</v>
      </c>
      <c r="D92" s="7" t="s">
        <v>61</v>
      </c>
      <c r="E92" s="9">
        <v>32</v>
      </c>
      <c r="F92" s="9">
        <v>0</v>
      </c>
      <c r="G92" s="9">
        <v>0</v>
      </c>
      <c r="H92" s="11">
        <v>0</v>
      </c>
      <c r="I92" s="7" t="s">
        <v>216</v>
      </c>
    </row>
    <row r="93" spans="1:9" ht="21" customHeight="1">
      <c r="A93" s="7" t="s">
        <v>48</v>
      </c>
      <c r="B93" s="7" t="s">
        <v>218</v>
      </c>
      <c r="C93" s="7" t="s">
        <v>502</v>
      </c>
      <c r="D93" s="7" t="s">
        <v>213</v>
      </c>
      <c r="E93" s="9">
        <v>6</v>
      </c>
      <c r="F93" s="9">
        <v>0</v>
      </c>
      <c r="G93" s="9">
        <v>0</v>
      </c>
      <c r="H93" s="11">
        <v>0</v>
      </c>
      <c r="I93" s="7" t="s">
        <v>218</v>
      </c>
    </row>
    <row r="94" spans="1:9" ht="21" customHeight="1">
      <c r="A94" s="7" t="s">
        <v>48</v>
      </c>
      <c r="B94" s="7" t="s">
        <v>220</v>
      </c>
      <c r="C94" s="7" t="s">
        <v>461</v>
      </c>
      <c r="D94" s="7" t="s">
        <v>210</v>
      </c>
      <c r="E94" s="9">
        <v>85</v>
      </c>
      <c r="F94" s="9">
        <v>1</v>
      </c>
      <c r="G94" s="9">
        <v>0</v>
      </c>
      <c r="H94" s="11">
        <v>0</v>
      </c>
      <c r="I94" s="7" t="s">
        <v>220</v>
      </c>
    </row>
    <row r="95" spans="1:9" ht="21" customHeight="1">
      <c r="A95" s="7" t="s">
        <v>48</v>
      </c>
      <c r="B95" s="7" t="s">
        <v>222</v>
      </c>
      <c r="C95" s="7" t="s">
        <v>462</v>
      </c>
      <c r="D95" s="7" t="s">
        <v>210</v>
      </c>
      <c r="E95" s="9">
        <v>138</v>
      </c>
      <c r="F95" s="9">
        <v>0</v>
      </c>
      <c r="G95" s="9">
        <v>0</v>
      </c>
      <c r="H95" s="11">
        <v>0</v>
      </c>
      <c r="I95" s="7" t="s">
        <v>222</v>
      </c>
    </row>
    <row r="96" spans="1:9" ht="21" customHeight="1">
      <c r="A96" s="7" t="s">
        <v>48</v>
      </c>
      <c r="B96" s="7" t="s">
        <v>224</v>
      </c>
      <c r="C96" s="7" t="s">
        <v>503</v>
      </c>
      <c r="D96" s="7" t="s">
        <v>213</v>
      </c>
      <c r="E96" s="9">
        <v>1</v>
      </c>
      <c r="F96" s="9">
        <v>0</v>
      </c>
      <c r="G96" s="9">
        <v>0</v>
      </c>
      <c r="H96" s="11">
        <v>0</v>
      </c>
      <c r="I96" s="7" t="s">
        <v>224</v>
      </c>
    </row>
    <row r="97" spans="1:9" ht="21" customHeight="1">
      <c r="A97" s="7" t="s">
        <v>48</v>
      </c>
      <c r="B97" s="7" t="s">
        <v>226</v>
      </c>
      <c r="C97" s="7" t="s">
        <v>463</v>
      </c>
      <c r="D97" s="7" t="s">
        <v>210</v>
      </c>
      <c r="E97" s="9">
        <v>325</v>
      </c>
      <c r="F97" s="9">
        <v>2</v>
      </c>
      <c r="G97" s="9">
        <v>0</v>
      </c>
      <c r="H97" s="11">
        <v>0</v>
      </c>
      <c r="I97" s="7" t="s">
        <v>226</v>
      </c>
    </row>
    <row r="98" spans="1:9" ht="21" customHeight="1">
      <c r="A98" s="7" t="s">
        <v>48</v>
      </c>
      <c r="B98" s="7" t="s">
        <v>228</v>
      </c>
      <c r="C98" s="7" t="s">
        <v>464</v>
      </c>
      <c r="D98" s="7" t="s">
        <v>210</v>
      </c>
      <c r="E98" s="9">
        <v>190</v>
      </c>
      <c r="F98" s="9">
        <v>4</v>
      </c>
      <c r="G98" s="9">
        <v>0</v>
      </c>
      <c r="H98" s="11">
        <v>0</v>
      </c>
      <c r="I98" s="7" t="s">
        <v>228</v>
      </c>
    </row>
    <row r="99" spans="1:9" ht="21" customHeight="1">
      <c r="A99" s="7" t="s">
        <v>48</v>
      </c>
      <c r="B99" s="7" t="s">
        <v>230</v>
      </c>
      <c r="C99" s="7" t="s">
        <v>547</v>
      </c>
      <c r="D99" s="7" t="s">
        <v>61</v>
      </c>
      <c r="E99" s="9">
        <v>1616</v>
      </c>
      <c r="F99" s="9">
        <v>25</v>
      </c>
      <c r="G99" s="9">
        <v>0</v>
      </c>
      <c r="H99" s="11">
        <v>0</v>
      </c>
      <c r="I99" s="7" t="s">
        <v>230</v>
      </c>
    </row>
    <row r="100" spans="1:9" ht="21" customHeight="1">
      <c r="A100" s="7" t="s">
        <v>48</v>
      </c>
      <c r="B100" s="7" t="s">
        <v>504</v>
      </c>
      <c r="C100" s="7" t="s">
        <v>526</v>
      </c>
      <c r="D100" s="7" t="s">
        <v>213</v>
      </c>
      <c r="E100" s="9">
        <v>15</v>
      </c>
      <c r="F100" s="9">
        <v>0</v>
      </c>
      <c r="G100" s="9">
        <v>0</v>
      </c>
      <c r="H100" s="11">
        <v>0</v>
      </c>
      <c r="I100" s="7" t="s">
        <v>504</v>
      </c>
    </row>
    <row r="101" spans="1:9" ht="21" customHeight="1">
      <c r="A101" s="7" t="s">
        <v>48</v>
      </c>
      <c r="B101" s="7" t="s">
        <v>346</v>
      </c>
      <c r="C101" s="7" t="s">
        <v>540</v>
      </c>
      <c r="D101" s="7" t="s">
        <v>213</v>
      </c>
      <c r="E101" s="9">
        <v>2</v>
      </c>
      <c r="F101" s="9">
        <v>0</v>
      </c>
      <c r="G101" s="9">
        <v>0</v>
      </c>
      <c r="H101" s="11">
        <v>0</v>
      </c>
      <c r="I101" s="7" t="s">
        <v>346</v>
      </c>
    </row>
    <row r="102" spans="1:9" ht="21" customHeight="1">
      <c r="A102" s="7" t="s">
        <v>48</v>
      </c>
      <c r="B102" s="7" t="s">
        <v>232</v>
      </c>
      <c r="C102" s="7" t="s">
        <v>506</v>
      </c>
      <c r="D102" s="7" t="s">
        <v>61</v>
      </c>
      <c r="E102" s="9">
        <v>1518</v>
      </c>
      <c r="F102" s="9">
        <v>25</v>
      </c>
      <c r="G102" s="9">
        <v>0</v>
      </c>
      <c r="H102" s="11">
        <v>0</v>
      </c>
      <c r="I102" s="7" t="s">
        <v>232</v>
      </c>
    </row>
    <row r="103" spans="1:9" ht="21" customHeight="1">
      <c r="A103" s="7" t="s">
        <v>48</v>
      </c>
      <c r="B103" s="7" t="s">
        <v>234</v>
      </c>
      <c r="C103" s="7" t="s">
        <v>466</v>
      </c>
      <c r="D103" s="7" t="s">
        <v>61</v>
      </c>
      <c r="E103" s="9">
        <v>12</v>
      </c>
      <c r="F103" s="9">
        <v>0</v>
      </c>
      <c r="G103" s="9">
        <v>0</v>
      </c>
      <c r="H103" s="11">
        <v>0</v>
      </c>
      <c r="I103" s="7" t="s">
        <v>234</v>
      </c>
    </row>
    <row r="104" spans="1:9" ht="21" customHeight="1">
      <c r="A104" s="7" t="s">
        <v>48</v>
      </c>
      <c r="B104" s="7" t="s">
        <v>238</v>
      </c>
      <c r="C104" s="7" t="s">
        <v>468</v>
      </c>
      <c r="D104" s="7" t="s">
        <v>61</v>
      </c>
      <c r="E104" s="9">
        <v>147</v>
      </c>
      <c r="F104" s="9">
        <v>2</v>
      </c>
      <c r="G104" s="9">
        <v>0</v>
      </c>
      <c r="H104" s="11">
        <v>0</v>
      </c>
      <c r="I104" s="7" t="s">
        <v>238</v>
      </c>
    </row>
    <row r="105" spans="1:9" ht="21" customHeight="1">
      <c r="A105" s="7" t="s">
        <v>49</v>
      </c>
      <c r="B105" s="7" t="s">
        <v>240</v>
      </c>
      <c r="C105" s="7" t="s">
        <v>508</v>
      </c>
      <c r="D105" s="7" t="s">
        <v>242</v>
      </c>
      <c r="E105" s="9">
        <v>7</v>
      </c>
      <c r="F105" s="9">
        <v>0</v>
      </c>
      <c r="G105" s="9">
        <v>0</v>
      </c>
      <c r="H105" s="11">
        <v>0</v>
      </c>
      <c r="I105" s="7" t="s">
        <v>240</v>
      </c>
    </row>
    <row r="106" spans="1:9" ht="21" customHeight="1">
      <c r="A106" s="7" t="s">
        <v>49</v>
      </c>
      <c r="B106" s="7" t="s">
        <v>243</v>
      </c>
      <c r="C106" s="7" t="s">
        <v>555</v>
      </c>
      <c r="D106" s="7" t="s">
        <v>242</v>
      </c>
      <c r="E106" s="9">
        <v>1</v>
      </c>
      <c r="F106" s="9">
        <v>0</v>
      </c>
      <c r="G106" s="9">
        <v>0</v>
      </c>
      <c r="H106" s="11">
        <v>0</v>
      </c>
      <c r="I106" s="7" t="s">
        <v>243</v>
      </c>
    </row>
    <row r="107" spans="1:9" ht="21" customHeight="1">
      <c r="A107" s="7" t="s">
        <v>49</v>
      </c>
      <c r="B107" s="7" t="s">
        <v>245</v>
      </c>
      <c r="C107" s="7" t="s">
        <v>548</v>
      </c>
      <c r="D107" s="7" t="s">
        <v>61</v>
      </c>
      <c r="E107" s="9">
        <v>1</v>
      </c>
      <c r="F107" s="9">
        <v>0</v>
      </c>
      <c r="G107" s="9">
        <v>0</v>
      </c>
      <c r="H107" s="11">
        <v>0</v>
      </c>
      <c r="I107" s="7" t="s">
        <v>245</v>
      </c>
    </row>
    <row r="108" spans="1:9" ht="21" customHeight="1">
      <c r="A108" s="7" t="s">
        <v>49</v>
      </c>
      <c r="B108" s="7" t="s">
        <v>354</v>
      </c>
      <c r="C108" s="7" t="s">
        <v>355</v>
      </c>
      <c r="D108" s="7" t="s">
        <v>61</v>
      </c>
      <c r="E108" s="9">
        <v>2</v>
      </c>
      <c r="F108" s="9">
        <v>0</v>
      </c>
      <c r="G108" s="9">
        <v>0</v>
      </c>
      <c r="H108" s="11">
        <v>0</v>
      </c>
      <c r="I108" s="7" t="s">
        <v>354</v>
      </c>
    </row>
    <row r="109" spans="1:9" ht="21" customHeight="1">
      <c r="A109" s="7" t="s">
        <v>50</v>
      </c>
      <c r="B109" s="7" t="s">
        <v>255</v>
      </c>
      <c r="C109" s="7" t="s">
        <v>529</v>
      </c>
      <c r="D109" s="7" t="s">
        <v>250</v>
      </c>
      <c r="E109" s="9">
        <v>85</v>
      </c>
      <c r="F109" s="9">
        <v>1</v>
      </c>
      <c r="G109" s="9">
        <v>24</v>
      </c>
      <c r="H109" s="11">
        <v>0</v>
      </c>
      <c r="I109" s="7" t="s">
        <v>255</v>
      </c>
    </row>
    <row r="110" spans="1:9" ht="21" customHeight="1">
      <c r="A110" s="7" t="s">
        <v>51</v>
      </c>
      <c r="B110" s="7" t="s">
        <v>399</v>
      </c>
      <c r="C110" s="7" t="s">
        <v>556</v>
      </c>
      <c r="D110" s="7" t="s">
        <v>259</v>
      </c>
      <c r="E110" s="9">
        <v>4</v>
      </c>
      <c r="F110" s="9">
        <v>0</v>
      </c>
      <c r="G110" s="9">
        <v>0</v>
      </c>
      <c r="H110" s="11">
        <v>0</v>
      </c>
      <c r="I110" s="7" t="s">
        <v>399</v>
      </c>
    </row>
    <row r="111" spans="1:9" ht="21" customHeight="1">
      <c r="A111" s="7" t="s">
        <v>51</v>
      </c>
      <c r="B111" s="7" t="s">
        <v>257</v>
      </c>
      <c r="C111" s="7" t="s">
        <v>471</v>
      </c>
      <c r="D111" s="7" t="s">
        <v>259</v>
      </c>
      <c r="E111" s="9">
        <v>74</v>
      </c>
      <c r="F111" s="9">
        <v>1</v>
      </c>
      <c r="G111" s="9">
        <v>0</v>
      </c>
      <c r="H111" s="11">
        <v>0</v>
      </c>
      <c r="I111" s="7" t="s">
        <v>257</v>
      </c>
    </row>
    <row r="112" spans="1:9" ht="21" customHeight="1">
      <c r="A112" s="7" t="s">
        <v>52</v>
      </c>
      <c r="B112" s="7" t="s">
        <v>260</v>
      </c>
      <c r="C112" s="7" t="s">
        <v>512</v>
      </c>
      <c r="D112" s="7" t="s">
        <v>262</v>
      </c>
      <c r="E112" s="9">
        <v>2060</v>
      </c>
      <c r="F112" s="9">
        <v>0</v>
      </c>
      <c r="G112" s="9">
        <v>0</v>
      </c>
      <c r="H112" s="11">
        <v>0</v>
      </c>
      <c r="I112" s="7" t="s">
        <v>260</v>
      </c>
    </row>
    <row r="113" spans="1:9" ht="21" customHeight="1">
      <c r="A113" s="7" t="s">
        <v>52</v>
      </c>
      <c r="B113" s="7" t="s">
        <v>263</v>
      </c>
      <c r="C113" s="7" t="s">
        <v>513</v>
      </c>
      <c r="D113" s="7" t="s">
        <v>262</v>
      </c>
      <c r="E113" s="9">
        <v>1346</v>
      </c>
      <c r="F113" s="9">
        <v>0</v>
      </c>
      <c r="G113" s="9">
        <v>0</v>
      </c>
      <c r="H113" s="11">
        <v>0</v>
      </c>
      <c r="I113" s="7" t="s">
        <v>263</v>
      </c>
    </row>
    <row r="114" spans="1:9" ht="21" customHeight="1">
      <c r="A114" s="7" t="s">
        <v>52</v>
      </c>
      <c r="B114" s="7" t="s">
        <v>265</v>
      </c>
      <c r="C114" s="7" t="s">
        <v>419</v>
      </c>
      <c r="D114" s="7" t="s">
        <v>262</v>
      </c>
      <c r="E114" s="9">
        <v>616</v>
      </c>
      <c r="F114" s="9">
        <v>29</v>
      </c>
      <c r="G114" s="9">
        <v>0</v>
      </c>
      <c r="H114" s="11">
        <v>0</v>
      </c>
      <c r="I114" s="7" t="s">
        <v>265</v>
      </c>
    </row>
    <row r="115" spans="1:9" ht="21" customHeight="1">
      <c r="A115" s="7" t="s">
        <v>52</v>
      </c>
      <c r="B115" s="7" t="s">
        <v>267</v>
      </c>
      <c r="C115" s="7" t="s">
        <v>420</v>
      </c>
      <c r="D115" s="7" t="s">
        <v>262</v>
      </c>
      <c r="E115" s="9">
        <v>15</v>
      </c>
      <c r="F115" s="9">
        <v>0</v>
      </c>
      <c r="G115" s="9">
        <v>0</v>
      </c>
      <c r="H115" s="11">
        <v>0</v>
      </c>
      <c r="I115" s="7" t="s">
        <v>267</v>
      </c>
    </row>
    <row r="116" spans="1:9" ht="21" customHeight="1">
      <c r="A116" s="7" t="s">
        <v>52</v>
      </c>
      <c r="B116" s="7" t="s">
        <v>531</v>
      </c>
      <c r="C116" s="7" t="s">
        <v>532</v>
      </c>
      <c r="D116" s="7" t="s">
        <v>262</v>
      </c>
      <c r="E116" s="9">
        <v>3</v>
      </c>
      <c r="F116" s="9">
        <v>0</v>
      </c>
      <c r="G116" s="9">
        <v>0</v>
      </c>
      <c r="H116" s="11">
        <v>0</v>
      </c>
      <c r="I116" s="7" t="s">
        <v>531</v>
      </c>
    </row>
    <row r="117" spans="1:9" ht="21" customHeight="1">
      <c r="A117" s="7" t="s">
        <v>52</v>
      </c>
      <c r="B117" s="7" t="s">
        <v>268</v>
      </c>
      <c r="C117" s="7" t="s">
        <v>514</v>
      </c>
      <c r="D117" s="7" t="s">
        <v>262</v>
      </c>
      <c r="E117" s="9">
        <v>35</v>
      </c>
      <c r="F117" s="9">
        <v>0</v>
      </c>
      <c r="G117" s="9">
        <v>0</v>
      </c>
      <c r="H117" s="11">
        <v>0</v>
      </c>
      <c r="I117" s="7" t="s">
        <v>268</v>
      </c>
    </row>
    <row r="118" spans="1:9" ht="21" customHeight="1">
      <c r="A118" s="7" t="s">
        <v>52</v>
      </c>
      <c r="B118" s="7" t="s">
        <v>269</v>
      </c>
      <c r="C118" s="7" t="s">
        <v>421</v>
      </c>
      <c r="D118" s="7" t="s">
        <v>262</v>
      </c>
      <c r="E118" s="9">
        <v>157</v>
      </c>
      <c r="F118" s="9">
        <v>0</v>
      </c>
      <c r="G118" s="9">
        <v>0</v>
      </c>
      <c r="H118" s="11">
        <v>0</v>
      </c>
      <c r="I118" s="7" t="s">
        <v>269</v>
      </c>
    </row>
    <row r="119" spans="1:9" ht="21" customHeight="1">
      <c r="A119" s="7" t="s">
        <v>52</v>
      </c>
      <c r="B119" s="7" t="s">
        <v>271</v>
      </c>
      <c r="C119" s="7" t="s">
        <v>475</v>
      </c>
      <c r="D119" s="7" t="s">
        <v>262</v>
      </c>
      <c r="E119" s="9">
        <v>108</v>
      </c>
      <c r="F119" s="9">
        <v>0</v>
      </c>
      <c r="G119" s="9">
        <v>0</v>
      </c>
      <c r="H119" s="11">
        <v>0</v>
      </c>
      <c r="I119" s="7" t="s">
        <v>271</v>
      </c>
    </row>
    <row r="120" spans="1:9" ht="21" customHeight="1">
      <c r="A120" s="7" t="s">
        <v>52</v>
      </c>
      <c r="B120" s="7" t="s">
        <v>273</v>
      </c>
      <c r="C120" s="7" t="s">
        <v>541</v>
      </c>
      <c r="D120" s="7" t="s">
        <v>262</v>
      </c>
      <c r="E120" s="9">
        <v>1877</v>
      </c>
      <c r="F120" s="9">
        <v>0</v>
      </c>
      <c r="G120" s="9">
        <v>0</v>
      </c>
      <c r="H120" s="11">
        <v>0</v>
      </c>
      <c r="I120" s="7" t="s">
        <v>273</v>
      </c>
    </row>
    <row r="121" spans="1:9" ht="21" customHeight="1">
      <c r="A121" s="7" t="s">
        <v>52</v>
      </c>
      <c r="B121" s="7" t="s">
        <v>275</v>
      </c>
      <c r="C121" s="7" t="s">
        <v>477</v>
      </c>
      <c r="D121" s="7" t="s">
        <v>262</v>
      </c>
      <c r="E121" s="9">
        <v>51</v>
      </c>
      <c r="F121" s="9">
        <v>0</v>
      </c>
      <c r="G121" s="9">
        <v>0</v>
      </c>
      <c r="H121" s="11">
        <v>0</v>
      </c>
      <c r="I121" s="7" t="s">
        <v>275</v>
      </c>
    </row>
    <row r="122" spans="1:9" ht="21" customHeight="1">
      <c r="A122" s="7" t="s">
        <v>52</v>
      </c>
      <c r="B122" s="7" t="s">
        <v>277</v>
      </c>
      <c r="C122" s="7" t="s">
        <v>478</v>
      </c>
      <c r="D122" s="7" t="s">
        <v>262</v>
      </c>
      <c r="E122" s="9">
        <v>406</v>
      </c>
      <c r="F122" s="9">
        <v>0</v>
      </c>
      <c r="G122" s="9">
        <v>0</v>
      </c>
      <c r="H122" s="11">
        <v>0</v>
      </c>
      <c r="I122" s="7" t="s">
        <v>277</v>
      </c>
    </row>
    <row r="123" spans="1:9" ht="21" customHeight="1">
      <c r="A123" s="7" t="s">
        <v>52</v>
      </c>
      <c r="B123" s="7" t="s">
        <v>557</v>
      </c>
      <c r="C123" s="7" t="s">
        <v>558</v>
      </c>
      <c r="D123" s="7" t="s">
        <v>262</v>
      </c>
      <c r="E123" s="9">
        <v>6</v>
      </c>
      <c r="F123" s="9">
        <v>0</v>
      </c>
      <c r="G123" s="9">
        <v>0</v>
      </c>
      <c r="H123" s="11">
        <v>0</v>
      </c>
      <c r="I123" s="7" t="s">
        <v>557</v>
      </c>
    </row>
    <row r="124" spans="1:9" ht="21" customHeight="1">
      <c r="A124" s="7" t="s">
        <v>52</v>
      </c>
      <c r="B124" s="7" t="s">
        <v>279</v>
      </c>
      <c r="C124" s="7" t="s">
        <v>479</v>
      </c>
      <c r="D124" s="7" t="s">
        <v>262</v>
      </c>
      <c r="E124" s="9">
        <v>86</v>
      </c>
      <c r="F124" s="9">
        <v>0</v>
      </c>
      <c r="G124" s="9">
        <v>0</v>
      </c>
      <c r="H124" s="11">
        <v>0</v>
      </c>
      <c r="I124" s="7" t="s">
        <v>279</v>
      </c>
    </row>
    <row r="125" spans="1:9" ht="21" customHeight="1">
      <c r="A125" s="7" t="s">
        <v>52</v>
      </c>
      <c r="B125" s="7" t="s">
        <v>280</v>
      </c>
      <c r="C125" s="7" t="s">
        <v>533</v>
      </c>
      <c r="D125" s="7" t="s">
        <v>262</v>
      </c>
      <c r="E125" s="9">
        <v>18</v>
      </c>
      <c r="F125" s="9">
        <v>0</v>
      </c>
      <c r="G125" s="9">
        <v>0</v>
      </c>
      <c r="H125" s="11">
        <v>0</v>
      </c>
      <c r="I125" s="7" t="s">
        <v>280</v>
      </c>
    </row>
    <row r="126" spans="1:9" ht="21" customHeight="1">
      <c r="A126" s="7" t="s">
        <v>52</v>
      </c>
      <c r="B126" s="7" t="s">
        <v>281</v>
      </c>
      <c r="C126" s="7" t="s">
        <v>424</v>
      </c>
      <c r="D126" s="7" t="s">
        <v>262</v>
      </c>
      <c r="E126" s="9">
        <v>6</v>
      </c>
      <c r="F126" s="9">
        <v>0</v>
      </c>
      <c r="G126" s="9">
        <v>0</v>
      </c>
      <c r="H126" s="11">
        <v>0</v>
      </c>
      <c r="I126" s="7" t="s">
        <v>281</v>
      </c>
    </row>
    <row r="127" spans="1:9" ht="21" customHeight="1">
      <c r="A127" s="7" t="s">
        <v>52</v>
      </c>
      <c r="B127" s="7" t="s">
        <v>283</v>
      </c>
      <c r="C127" s="7" t="s">
        <v>484</v>
      </c>
      <c r="D127" s="7" t="s">
        <v>262</v>
      </c>
      <c r="E127" s="9">
        <v>804</v>
      </c>
      <c r="F127" s="9">
        <v>2</v>
      </c>
      <c r="G127" s="9">
        <v>0</v>
      </c>
      <c r="H127" s="11">
        <v>0</v>
      </c>
      <c r="I127" s="7" t="s">
        <v>283</v>
      </c>
    </row>
    <row r="128" spans="1:9" ht="21" customHeight="1">
      <c r="A128" s="8" t="s">
        <v>52</v>
      </c>
      <c r="B128" s="8" t="s">
        <v>286</v>
      </c>
      <c r="C128" s="8" t="s">
        <v>426</v>
      </c>
      <c r="D128" s="8" t="s">
        <v>262</v>
      </c>
      <c r="E128" s="10">
        <v>19</v>
      </c>
      <c r="F128" s="10">
        <v>0</v>
      </c>
      <c r="G128" s="10">
        <v>0</v>
      </c>
      <c r="H128" s="12">
        <v>0</v>
      </c>
      <c r="I128" s="8" t="s">
        <v>286</v>
      </c>
    </row>
    <row r="130" spans="1:8">
      <c r="A130" s="21" t="s">
        <v>288</v>
      </c>
      <c r="B130" s="22"/>
      <c r="C130" s="22"/>
      <c r="D130" s="22"/>
      <c r="E130" s="13">
        <f>SUM(E6:E128)</f>
        <v>1135838</v>
      </c>
      <c r="F130" s="13">
        <f>SUM(F6:F128)</f>
        <v>49356</v>
      </c>
      <c r="G130" s="13">
        <f>SUM(G6:G128)</f>
        <v>1262</v>
      </c>
      <c r="H130" s="14">
        <f>SUM(H6:H128)</f>
        <v>2036642.4740130003</v>
      </c>
    </row>
  </sheetData>
  <mergeCells count="1">
    <mergeCell ref="A130:D130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CA3AF"/>
  </sheetPr>
  <dimension ref="A1:I1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29" customWidth="1"/>
    <col min="2" max="2" width="31" customWidth="1"/>
    <col min="3" max="3" width="48" customWidth="1"/>
    <col min="4" max="4" width="29" customWidth="1"/>
    <col min="5" max="7" width="17" customWidth="1"/>
    <col min="8" max="8" width="20" customWidth="1"/>
    <col min="9" max="9" width="38" customWidth="1"/>
  </cols>
  <sheetData>
    <row r="1" spans="1:9" ht="8" customHeight="1"/>
    <row r="2" spans="1:9" ht="19">
      <c r="A2" s="1" t="s">
        <v>559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560</v>
      </c>
    </row>
    <row r="5" spans="1:9" ht="30" customHeight="1">
      <c r="A5" s="4" t="s">
        <v>35</v>
      </c>
      <c r="B5" s="5" t="s">
        <v>55</v>
      </c>
      <c r="C5" s="5" t="s">
        <v>56</v>
      </c>
      <c r="D5" s="5" t="s">
        <v>57</v>
      </c>
      <c r="E5" s="5" t="s">
        <v>36</v>
      </c>
      <c r="F5" s="5" t="s">
        <v>37</v>
      </c>
      <c r="G5" s="5" t="s">
        <v>38</v>
      </c>
      <c r="H5" s="5" t="s">
        <v>39</v>
      </c>
      <c r="I5" s="6" t="s">
        <v>58</v>
      </c>
    </row>
    <row r="6" spans="1:9" ht="21" customHeight="1">
      <c r="A6" s="7" t="s">
        <v>41</v>
      </c>
      <c r="B6" s="7" t="s">
        <v>59</v>
      </c>
      <c r="C6" s="7" t="s">
        <v>60</v>
      </c>
      <c r="D6" s="7" t="s">
        <v>61</v>
      </c>
      <c r="E6" s="9">
        <v>70017</v>
      </c>
      <c r="F6" s="9">
        <v>4637</v>
      </c>
      <c r="G6" s="9">
        <v>92</v>
      </c>
      <c r="H6" s="11">
        <v>183834.55129800001</v>
      </c>
      <c r="I6" s="7" t="s">
        <v>59</v>
      </c>
    </row>
    <row r="7" spans="1:9" ht="21" customHeight="1">
      <c r="A7" s="7" t="s">
        <v>41</v>
      </c>
      <c r="B7" s="7" t="s">
        <v>62</v>
      </c>
      <c r="C7" s="7" t="s">
        <v>63</v>
      </c>
      <c r="D7" s="7" t="s">
        <v>61</v>
      </c>
      <c r="E7" s="9">
        <v>44245</v>
      </c>
      <c r="F7" s="9">
        <v>1357</v>
      </c>
      <c r="G7" s="9">
        <v>26</v>
      </c>
      <c r="H7" s="11">
        <v>159680</v>
      </c>
      <c r="I7" s="7" t="s">
        <v>62</v>
      </c>
    </row>
    <row r="8" spans="1:9" ht="21" customHeight="1">
      <c r="A8" s="7" t="s">
        <v>41</v>
      </c>
      <c r="B8" s="7" t="s">
        <v>64</v>
      </c>
      <c r="C8" s="7" t="s">
        <v>65</v>
      </c>
      <c r="D8" s="7" t="s">
        <v>61</v>
      </c>
      <c r="E8" s="9">
        <v>49961</v>
      </c>
      <c r="F8" s="9">
        <v>1422</v>
      </c>
      <c r="G8" s="9">
        <v>7</v>
      </c>
      <c r="H8" s="11">
        <v>49350.000004000001</v>
      </c>
      <c r="I8" s="7" t="s">
        <v>64</v>
      </c>
    </row>
    <row r="9" spans="1:9" ht="21" customHeight="1">
      <c r="A9" s="7" t="s">
        <v>41</v>
      </c>
      <c r="B9" s="7" t="s">
        <v>66</v>
      </c>
      <c r="C9" s="7" t="s">
        <v>67</v>
      </c>
      <c r="D9" s="7" t="s">
        <v>61</v>
      </c>
      <c r="E9" s="9">
        <v>7755</v>
      </c>
      <c r="F9" s="9">
        <v>328</v>
      </c>
      <c r="G9" s="9">
        <v>11</v>
      </c>
      <c r="H9" s="11">
        <v>44199.999997999999</v>
      </c>
      <c r="I9" s="7" t="s">
        <v>66</v>
      </c>
    </row>
    <row r="10" spans="1:9" ht="21" customHeight="1">
      <c r="A10" s="7" t="s">
        <v>41</v>
      </c>
      <c r="B10" s="7" t="s">
        <v>68</v>
      </c>
      <c r="C10" s="7" t="s">
        <v>554</v>
      </c>
      <c r="D10" s="7" t="s">
        <v>61</v>
      </c>
      <c r="E10" s="9">
        <v>20077</v>
      </c>
      <c r="F10" s="9">
        <v>740</v>
      </c>
      <c r="G10" s="9">
        <v>3</v>
      </c>
      <c r="H10" s="11">
        <v>39899.999999</v>
      </c>
      <c r="I10" s="7" t="s">
        <v>68</v>
      </c>
    </row>
    <row r="11" spans="1:9" ht="21" customHeight="1">
      <c r="A11" s="7" t="s">
        <v>41</v>
      </c>
      <c r="B11" s="7" t="s">
        <v>70</v>
      </c>
      <c r="C11" s="7" t="s">
        <v>71</v>
      </c>
      <c r="D11" s="7" t="s">
        <v>61</v>
      </c>
      <c r="E11" s="9">
        <v>3963</v>
      </c>
      <c r="F11" s="9">
        <v>151</v>
      </c>
      <c r="G11" s="9">
        <v>10</v>
      </c>
      <c r="H11" s="11">
        <v>31921.999997999999</v>
      </c>
      <c r="I11" s="7" t="s">
        <v>70</v>
      </c>
    </row>
    <row r="12" spans="1:9" ht="21" customHeight="1">
      <c r="A12" s="7" t="s">
        <v>41</v>
      </c>
      <c r="B12" s="7" t="s">
        <v>72</v>
      </c>
      <c r="C12" s="7" t="s">
        <v>73</v>
      </c>
      <c r="D12" s="7" t="s">
        <v>61</v>
      </c>
      <c r="E12" s="9">
        <v>2336</v>
      </c>
      <c r="F12" s="9">
        <v>87</v>
      </c>
      <c r="G12" s="9">
        <v>4</v>
      </c>
      <c r="H12" s="11">
        <v>14631.800004000001</v>
      </c>
      <c r="I12" s="7" t="s">
        <v>72</v>
      </c>
    </row>
    <row r="13" spans="1:9" ht="21" customHeight="1">
      <c r="A13" s="7" t="s">
        <v>42</v>
      </c>
      <c r="B13" s="7" t="s">
        <v>82</v>
      </c>
      <c r="C13" s="7" t="s">
        <v>83</v>
      </c>
      <c r="D13" s="7" t="s">
        <v>61</v>
      </c>
      <c r="E13" s="9">
        <v>4614</v>
      </c>
      <c r="F13" s="9">
        <v>321</v>
      </c>
      <c r="G13" s="9">
        <v>12</v>
      </c>
      <c r="H13" s="11">
        <v>8184.6405240000004</v>
      </c>
      <c r="I13" s="7" t="s">
        <v>82</v>
      </c>
    </row>
    <row r="14" spans="1:9" ht="21" customHeight="1">
      <c r="A14" s="7" t="s">
        <v>42</v>
      </c>
      <c r="B14" s="7" t="s">
        <v>76</v>
      </c>
      <c r="C14" s="7" t="s">
        <v>487</v>
      </c>
      <c r="D14" s="7" t="s">
        <v>61</v>
      </c>
      <c r="E14" s="9">
        <v>6330</v>
      </c>
      <c r="F14" s="9">
        <v>408</v>
      </c>
      <c r="G14" s="9">
        <v>17</v>
      </c>
      <c r="H14" s="11">
        <v>7317.1746380000004</v>
      </c>
      <c r="I14" s="7" t="s">
        <v>76</v>
      </c>
    </row>
    <row r="15" spans="1:9" ht="21" customHeight="1">
      <c r="A15" s="7" t="s">
        <v>42</v>
      </c>
      <c r="B15" s="7" t="s">
        <v>92</v>
      </c>
      <c r="C15" s="7" t="s">
        <v>491</v>
      </c>
      <c r="D15" s="7" t="s">
        <v>61</v>
      </c>
      <c r="E15" s="9">
        <v>2647</v>
      </c>
      <c r="F15" s="9">
        <v>103</v>
      </c>
      <c r="G15" s="9">
        <v>6</v>
      </c>
      <c r="H15" s="11">
        <v>5989.9999980000002</v>
      </c>
      <c r="I15" s="7" t="s">
        <v>92</v>
      </c>
    </row>
    <row r="16" spans="1:9" ht="21" customHeight="1">
      <c r="A16" s="7" t="s">
        <v>42</v>
      </c>
      <c r="B16" s="7" t="s">
        <v>88</v>
      </c>
      <c r="C16" s="7" t="s">
        <v>488</v>
      </c>
      <c r="D16" s="7" t="s">
        <v>61</v>
      </c>
      <c r="E16" s="9">
        <v>3333</v>
      </c>
      <c r="F16" s="9">
        <v>226</v>
      </c>
      <c r="G16" s="9">
        <v>23</v>
      </c>
      <c r="H16" s="11">
        <v>5798.9999969999999</v>
      </c>
      <c r="I16" s="7" t="s">
        <v>88</v>
      </c>
    </row>
    <row r="17" spans="1:9" ht="21" customHeight="1">
      <c r="A17" s="7" t="s">
        <v>42</v>
      </c>
      <c r="B17" s="7" t="s">
        <v>78</v>
      </c>
      <c r="C17" s="7" t="s">
        <v>79</v>
      </c>
      <c r="D17" s="7" t="s">
        <v>61</v>
      </c>
      <c r="E17" s="9">
        <v>3857</v>
      </c>
      <c r="F17" s="9">
        <v>216</v>
      </c>
      <c r="G17" s="9">
        <v>10</v>
      </c>
      <c r="H17" s="11">
        <v>4768.2045760000001</v>
      </c>
      <c r="I17" s="7" t="s">
        <v>78</v>
      </c>
    </row>
    <row r="18" spans="1:9" ht="21" customHeight="1">
      <c r="A18" s="7" t="s">
        <v>42</v>
      </c>
      <c r="B18" s="7" t="s">
        <v>90</v>
      </c>
      <c r="C18" s="7" t="s">
        <v>91</v>
      </c>
      <c r="D18" s="7" t="s">
        <v>61</v>
      </c>
      <c r="E18" s="9">
        <v>2432</v>
      </c>
      <c r="F18" s="9">
        <v>168</v>
      </c>
      <c r="G18" s="9">
        <v>5</v>
      </c>
      <c r="H18" s="11">
        <v>4570.9999930000004</v>
      </c>
      <c r="I18" s="7" t="s">
        <v>90</v>
      </c>
    </row>
    <row r="19" spans="1:9" ht="21" customHeight="1">
      <c r="A19" s="7" t="s">
        <v>42</v>
      </c>
      <c r="B19" s="7" t="s">
        <v>74</v>
      </c>
      <c r="C19" s="7" t="s">
        <v>536</v>
      </c>
      <c r="D19" s="7" t="s">
        <v>61</v>
      </c>
      <c r="E19" s="9">
        <v>4388</v>
      </c>
      <c r="F19" s="9">
        <v>216</v>
      </c>
      <c r="G19" s="9">
        <v>8</v>
      </c>
      <c r="H19" s="11">
        <v>3609.0000049999999</v>
      </c>
      <c r="I19" s="7" t="s">
        <v>74</v>
      </c>
    </row>
    <row r="20" spans="1:9" ht="21" customHeight="1">
      <c r="A20" s="7" t="s">
        <v>42</v>
      </c>
      <c r="B20" s="7" t="s">
        <v>94</v>
      </c>
      <c r="C20" s="7" t="s">
        <v>95</v>
      </c>
      <c r="D20" s="7" t="s">
        <v>61</v>
      </c>
      <c r="E20" s="9">
        <v>663</v>
      </c>
      <c r="F20" s="9">
        <v>29</v>
      </c>
      <c r="G20" s="9">
        <v>1</v>
      </c>
      <c r="H20" s="11">
        <v>2345.0000009999999</v>
      </c>
      <c r="I20" s="7" t="s">
        <v>94</v>
      </c>
    </row>
    <row r="21" spans="1:9" ht="21" customHeight="1">
      <c r="A21" s="7" t="s">
        <v>42</v>
      </c>
      <c r="B21" s="7" t="s">
        <v>96</v>
      </c>
      <c r="C21" s="7" t="s">
        <v>97</v>
      </c>
      <c r="D21" s="7" t="s">
        <v>61</v>
      </c>
      <c r="E21" s="9">
        <v>464</v>
      </c>
      <c r="F21" s="9">
        <v>20</v>
      </c>
      <c r="G21" s="9">
        <v>1</v>
      </c>
      <c r="H21" s="11">
        <v>1980.0000010000001</v>
      </c>
      <c r="I21" s="7" t="s">
        <v>96</v>
      </c>
    </row>
    <row r="22" spans="1:9" ht="21" customHeight="1">
      <c r="A22" s="7" t="s">
        <v>42</v>
      </c>
      <c r="B22" s="7" t="s">
        <v>86</v>
      </c>
      <c r="C22" s="7" t="s">
        <v>490</v>
      </c>
      <c r="D22" s="7" t="s">
        <v>61</v>
      </c>
      <c r="E22" s="9">
        <v>1864</v>
      </c>
      <c r="F22" s="9">
        <v>86</v>
      </c>
      <c r="G22" s="9">
        <v>5</v>
      </c>
      <c r="H22" s="11">
        <v>1325.0000030000001</v>
      </c>
      <c r="I22" s="7" t="s">
        <v>86</v>
      </c>
    </row>
    <row r="23" spans="1:9" ht="21" customHeight="1">
      <c r="A23" s="7" t="s">
        <v>42</v>
      </c>
      <c r="B23" s="7" t="s">
        <v>80</v>
      </c>
      <c r="C23" s="7" t="s">
        <v>81</v>
      </c>
      <c r="D23" s="7" t="s">
        <v>61</v>
      </c>
      <c r="E23" s="9">
        <v>2101</v>
      </c>
      <c r="F23" s="9">
        <v>57</v>
      </c>
      <c r="G23" s="9">
        <v>1</v>
      </c>
      <c r="H23" s="11">
        <v>925.000001</v>
      </c>
      <c r="I23" s="7" t="s">
        <v>80</v>
      </c>
    </row>
    <row r="24" spans="1:9" ht="21" customHeight="1">
      <c r="A24" s="7" t="s">
        <v>42</v>
      </c>
      <c r="B24" s="7" t="s">
        <v>100</v>
      </c>
      <c r="C24" s="7" t="s">
        <v>431</v>
      </c>
      <c r="D24" s="7" t="s">
        <v>61</v>
      </c>
      <c r="E24" s="9">
        <v>270</v>
      </c>
      <c r="F24" s="9">
        <v>4</v>
      </c>
      <c r="G24" s="9">
        <v>0</v>
      </c>
      <c r="H24" s="11">
        <v>0</v>
      </c>
      <c r="I24" s="7" t="s">
        <v>100</v>
      </c>
    </row>
    <row r="25" spans="1:9" ht="21" customHeight="1">
      <c r="A25" s="7" t="s">
        <v>42</v>
      </c>
      <c r="B25" s="7" t="s">
        <v>84</v>
      </c>
      <c r="C25" s="7" t="s">
        <v>85</v>
      </c>
      <c r="D25" s="7" t="s">
        <v>61</v>
      </c>
      <c r="E25" s="9">
        <v>320</v>
      </c>
      <c r="F25" s="9">
        <v>6</v>
      </c>
      <c r="G25" s="9">
        <v>0</v>
      </c>
      <c r="H25" s="11">
        <v>0</v>
      </c>
      <c r="I25" s="7" t="s">
        <v>84</v>
      </c>
    </row>
    <row r="26" spans="1:9" ht="21" customHeight="1">
      <c r="A26" s="7" t="s">
        <v>42</v>
      </c>
      <c r="B26" s="7" t="s">
        <v>102</v>
      </c>
      <c r="C26" s="7" t="s">
        <v>298</v>
      </c>
      <c r="D26" s="7" t="s">
        <v>61</v>
      </c>
      <c r="E26" s="9">
        <v>23</v>
      </c>
      <c r="F26" s="9">
        <v>0</v>
      </c>
      <c r="G26" s="9">
        <v>0</v>
      </c>
      <c r="H26" s="11">
        <v>0</v>
      </c>
      <c r="I26" s="7" t="s">
        <v>102</v>
      </c>
    </row>
    <row r="27" spans="1:9" ht="21" customHeight="1">
      <c r="A27" s="7" t="s">
        <v>42</v>
      </c>
      <c r="B27" s="7" t="s">
        <v>104</v>
      </c>
      <c r="C27" s="7" t="s">
        <v>300</v>
      </c>
      <c r="D27" s="7" t="s">
        <v>61</v>
      </c>
      <c r="E27" s="9">
        <v>45</v>
      </c>
      <c r="F27" s="9">
        <v>0</v>
      </c>
      <c r="G27" s="9">
        <v>0</v>
      </c>
      <c r="H27" s="11">
        <v>0</v>
      </c>
      <c r="I27" s="7" t="s">
        <v>104</v>
      </c>
    </row>
    <row r="28" spans="1:9" ht="21" customHeight="1">
      <c r="A28" s="7" t="s">
        <v>42</v>
      </c>
      <c r="B28" s="7" t="s">
        <v>106</v>
      </c>
      <c r="C28" s="7" t="s">
        <v>432</v>
      </c>
      <c r="D28" s="7" t="s">
        <v>61</v>
      </c>
      <c r="E28" s="9">
        <v>10</v>
      </c>
      <c r="F28" s="9">
        <v>0</v>
      </c>
      <c r="G28" s="9">
        <v>0</v>
      </c>
      <c r="H28" s="11">
        <v>0</v>
      </c>
      <c r="I28" s="7" t="s">
        <v>106</v>
      </c>
    </row>
    <row r="29" spans="1:9" ht="21" customHeight="1">
      <c r="A29" s="7" t="s">
        <v>42</v>
      </c>
      <c r="B29" s="7" t="s">
        <v>98</v>
      </c>
      <c r="C29" s="7" t="s">
        <v>430</v>
      </c>
      <c r="D29" s="7" t="s">
        <v>61</v>
      </c>
      <c r="E29" s="9">
        <v>913</v>
      </c>
      <c r="F29" s="9">
        <v>23</v>
      </c>
      <c r="G29" s="9">
        <v>0</v>
      </c>
      <c r="H29" s="11">
        <v>0</v>
      </c>
      <c r="I29" s="7" t="s">
        <v>98</v>
      </c>
    </row>
    <row r="30" spans="1:9" ht="21" customHeight="1">
      <c r="A30" s="7" t="s">
        <v>42</v>
      </c>
      <c r="B30" s="7" t="s">
        <v>108</v>
      </c>
      <c r="C30" s="7" t="s">
        <v>561</v>
      </c>
      <c r="D30" s="7" t="s">
        <v>61</v>
      </c>
      <c r="E30" s="9">
        <v>47</v>
      </c>
      <c r="F30" s="9">
        <v>0</v>
      </c>
      <c r="G30" s="9">
        <v>0</v>
      </c>
      <c r="H30" s="11">
        <v>0</v>
      </c>
      <c r="I30" s="7" t="s">
        <v>108</v>
      </c>
    </row>
    <row r="31" spans="1:9" ht="21" customHeight="1">
      <c r="A31" s="7" t="s">
        <v>42</v>
      </c>
      <c r="B31" s="7" t="s">
        <v>110</v>
      </c>
      <c r="C31" s="7" t="s">
        <v>301</v>
      </c>
      <c r="D31" s="7" t="s">
        <v>61</v>
      </c>
      <c r="E31" s="9">
        <v>2</v>
      </c>
      <c r="F31" s="9">
        <v>0</v>
      </c>
      <c r="G31" s="9">
        <v>0</v>
      </c>
      <c r="H31" s="11">
        <v>0</v>
      </c>
      <c r="I31" s="7" t="s">
        <v>110</v>
      </c>
    </row>
    <row r="32" spans="1:9" ht="21" customHeight="1">
      <c r="A32" s="7" t="s">
        <v>42</v>
      </c>
      <c r="B32" s="7" t="s">
        <v>112</v>
      </c>
      <c r="C32" s="7" t="s">
        <v>294</v>
      </c>
      <c r="D32" s="7" t="s">
        <v>61</v>
      </c>
      <c r="E32" s="9">
        <v>236</v>
      </c>
      <c r="F32" s="9">
        <v>6</v>
      </c>
      <c r="G32" s="9">
        <v>0</v>
      </c>
      <c r="H32" s="11">
        <v>0</v>
      </c>
      <c r="I32" s="7" t="s">
        <v>112</v>
      </c>
    </row>
    <row r="33" spans="1:9" ht="21" customHeight="1">
      <c r="A33" s="7" t="s">
        <v>42</v>
      </c>
      <c r="B33" s="7" t="s">
        <v>114</v>
      </c>
      <c r="C33" s="7" t="s">
        <v>518</v>
      </c>
      <c r="D33" s="7" t="s">
        <v>61</v>
      </c>
      <c r="E33" s="9">
        <v>15</v>
      </c>
      <c r="F33" s="9">
        <v>0</v>
      </c>
      <c r="G33" s="9">
        <v>0</v>
      </c>
      <c r="H33" s="11">
        <v>0</v>
      </c>
      <c r="I33" s="7" t="s">
        <v>114</v>
      </c>
    </row>
    <row r="34" spans="1:9" ht="21" customHeight="1">
      <c r="A34" s="7" t="s">
        <v>42</v>
      </c>
      <c r="B34" s="7" t="s">
        <v>116</v>
      </c>
      <c r="C34" s="7" t="s">
        <v>562</v>
      </c>
      <c r="D34" s="7" t="s">
        <v>61</v>
      </c>
      <c r="E34" s="9">
        <v>12</v>
      </c>
      <c r="F34" s="9">
        <v>0</v>
      </c>
      <c r="G34" s="9">
        <v>0</v>
      </c>
      <c r="H34" s="11">
        <v>0</v>
      </c>
      <c r="I34" s="7" t="s">
        <v>116</v>
      </c>
    </row>
    <row r="35" spans="1:9" ht="21" customHeight="1">
      <c r="A35" s="7" t="s">
        <v>43</v>
      </c>
      <c r="B35" s="7" t="s">
        <v>117</v>
      </c>
      <c r="C35" s="7" t="s">
        <v>492</v>
      </c>
      <c r="D35" s="7" t="s">
        <v>61</v>
      </c>
      <c r="E35" s="9">
        <v>9770</v>
      </c>
      <c r="F35" s="9">
        <v>298</v>
      </c>
      <c r="G35" s="9">
        <v>16</v>
      </c>
      <c r="H35" s="11">
        <v>14061.779864</v>
      </c>
      <c r="I35" s="7" t="s">
        <v>117</v>
      </c>
    </row>
    <row r="36" spans="1:9" ht="21" customHeight="1">
      <c r="A36" s="7" t="s">
        <v>43</v>
      </c>
      <c r="B36" s="7" t="s">
        <v>121</v>
      </c>
      <c r="C36" s="7" t="s">
        <v>122</v>
      </c>
      <c r="D36" s="7" t="s">
        <v>61</v>
      </c>
      <c r="E36" s="9">
        <v>6532</v>
      </c>
      <c r="F36" s="9">
        <v>279</v>
      </c>
      <c r="G36" s="9">
        <v>13</v>
      </c>
      <c r="H36" s="11">
        <v>4752.5000090000003</v>
      </c>
      <c r="I36" s="7" t="s">
        <v>121</v>
      </c>
    </row>
    <row r="37" spans="1:9" ht="21" customHeight="1">
      <c r="A37" s="7" t="s">
        <v>43</v>
      </c>
      <c r="B37" s="7" t="s">
        <v>436</v>
      </c>
      <c r="C37" s="7" t="s">
        <v>437</v>
      </c>
      <c r="D37" s="7" t="s">
        <v>61</v>
      </c>
      <c r="E37" s="9">
        <v>1252</v>
      </c>
      <c r="F37" s="9">
        <v>66</v>
      </c>
      <c r="G37" s="9">
        <v>5</v>
      </c>
      <c r="H37" s="11">
        <v>1850.000004</v>
      </c>
      <c r="I37" s="7" t="s">
        <v>436</v>
      </c>
    </row>
    <row r="38" spans="1:9" ht="21" customHeight="1">
      <c r="A38" s="7" t="s">
        <v>43</v>
      </c>
      <c r="B38" s="7" t="s">
        <v>119</v>
      </c>
      <c r="C38" s="7" t="s">
        <v>435</v>
      </c>
      <c r="D38" s="7" t="s">
        <v>61</v>
      </c>
      <c r="E38" s="9">
        <v>1837</v>
      </c>
      <c r="F38" s="9">
        <v>109</v>
      </c>
      <c r="G38" s="9">
        <v>2</v>
      </c>
      <c r="H38" s="11">
        <v>1375.500002</v>
      </c>
      <c r="I38" s="7" t="s">
        <v>119</v>
      </c>
    </row>
    <row r="39" spans="1:9" ht="21" customHeight="1">
      <c r="A39" s="7" t="s">
        <v>44</v>
      </c>
      <c r="B39" s="7" t="s">
        <v>125</v>
      </c>
      <c r="C39" s="7" t="s">
        <v>126</v>
      </c>
      <c r="D39" s="7" t="s">
        <v>61</v>
      </c>
      <c r="E39" s="9">
        <v>1738</v>
      </c>
      <c r="F39" s="9">
        <v>94</v>
      </c>
      <c r="G39" s="9">
        <v>3</v>
      </c>
      <c r="H39" s="11">
        <v>8005.2361540000002</v>
      </c>
      <c r="I39" s="7" t="s">
        <v>125</v>
      </c>
    </row>
    <row r="40" spans="1:9" ht="21" customHeight="1">
      <c r="A40" s="7" t="s">
        <v>44</v>
      </c>
      <c r="B40" s="7" t="s">
        <v>131</v>
      </c>
      <c r="C40" s="7" t="s">
        <v>306</v>
      </c>
      <c r="D40" s="7" t="s">
        <v>61</v>
      </c>
      <c r="E40" s="9">
        <v>455</v>
      </c>
      <c r="F40" s="9">
        <v>29</v>
      </c>
      <c r="G40" s="9">
        <v>6</v>
      </c>
      <c r="H40" s="11">
        <v>1485.0000050000001</v>
      </c>
      <c r="I40" s="7" t="s">
        <v>131</v>
      </c>
    </row>
    <row r="41" spans="1:9" ht="21" customHeight="1">
      <c r="A41" s="7" t="s">
        <v>44</v>
      </c>
      <c r="B41" s="7" t="s">
        <v>129</v>
      </c>
      <c r="C41" s="7" t="s">
        <v>130</v>
      </c>
      <c r="D41" s="7" t="s">
        <v>61</v>
      </c>
      <c r="E41" s="9">
        <v>1246</v>
      </c>
      <c r="F41" s="9">
        <v>25</v>
      </c>
      <c r="G41" s="9">
        <v>1</v>
      </c>
      <c r="H41" s="11">
        <v>1245</v>
      </c>
      <c r="I41" s="7" t="s">
        <v>129</v>
      </c>
    </row>
    <row r="42" spans="1:9" ht="21" customHeight="1">
      <c r="A42" s="7" t="s">
        <v>44</v>
      </c>
      <c r="B42" s="7" t="s">
        <v>135</v>
      </c>
      <c r="C42" s="7" t="s">
        <v>305</v>
      </c>
      <c r="D42" s="7" t="s">
        <v>61</v>
      </c>
      <c r="E42" s="9">
        <v>285</v>
      </c>
      <c r="F42" s="9">
        <v>12</v>
      </c>
      <c r="G42" s="9">
        <v>1</v>
      </c>
      <c r="H42" s="11">
        <v>190.80259799999999</v>
      </c>
      <c r="I42" s="7" t="s">
        <v>135</v>
      </c>
    </row>
    <row r="43" spans="1:9" ht="21" customHeight="1">
      <c r="A43" s="7" t="s">
        <v>44</v>
      </c>
      <c r="B43" s="7" t="s">
        <v>123</v>
      </c>
      <c r="C43" s="7" t="s">
        <v>124</v>
      </c>
      <c r="D43" s="7" t="s">
        <v>61</v>
      </c>
      <c r="E43" s="9">
        <v>246</v>
      </c>
      <c r="F43" s="9">
        <v>7</v>
      </c>
      <c r="G43" s="9">
        <v>0</v>
      </c>
      <c r="H43" s="11">
        <v>0</v>
      </c>
      <c r="I43" s="7" t="s">
        <v>123</v>
      </c>
    </row>
    <row r="44" spans="1:9" ht="21" customHeight="1">
      <c r="A44" s="7" t="s">
        <v>44</v>
      </c>
      <c r="B44" s="7" t="s">
        <v>133</v>
      </c>
      <c r="C44" s="7" t="s">
        <v>307</v>
      </c>
      <c r="D44" s="7" t="s">
        <v>61</v>
      </c>
      <c r="E44" s="9">
        <v>289</v>
      </c>
      <c r="F44" s="9">
        <v>7</v>
      </c>
      <c r="G44" s="9">
        <v>0</v>
      </c>
      <c r="H44" s="11">
        <v>0</v>
      </c>
      <c r="I44" s="7" t="s">
        <v>133</v>
      </c>
    </row>
    <row r="45" spans="1:9" ht="21" customHeight="1">
      <c r="A45" s="7" t="s">
        <v>44</v>
      </c>
      <c r="B45" s="7" t="s">
        <v>127</v>
      </c>
      <c r="C45" s="7" t="s">
        <v>128</v>
      </c>
      <c r="D45" s="7" t="s">
        <v>61</v>
      </c>
      <c r="E45" s="9">
        <v>1231</v>
      </c>
      <c r="F45" s="9">
        <v>34</v>
      </c>
      <c r="G45" s="9">
        <v>0</v>
      </c>
      <c r="H45" s="11">
        <v>0</v>
      </c>
      <c r="I45" s="7" t="s">
        <v>127</v>
      </c>
    </row>
    <row r="46" spans="1:9" ht="21" customHeight="1">
      <c r="A46" s="7" t="s">
        <v>45</v>
      </c>
      <c r="B46" s="7" t="s">
        <v>139</v>
      </c>
      <c r="C46" s="7" t="s">
        <v>140</v>
      </c>
      <c r="D46" s="7" t="s">
        <v>61</v>
      </c>
      <c r="E46" s="9">
        <v>5289</v>
      </c>
      <c r="F46" s="9">
        <v>299</v>
      </c>
      <c r="G46" s="9">
        <v>9</v>
      </c>
      <c r="H46" s="11">
        <v>2428.4999990000001</v>
      </c>
      <c r="I46" s="7" t="s">
        <v>139</v>
      </c>
    </row>
    <row r="47" spans="1:9" ht="21" customHeight="1">
      <c r="A47" s="7" t="s">
        <v>45</v>
      </c>
      <c r="B47" s="7" t="s">
        <v>143</v>
      </c>
      <c r="C47" s="7" t="s">
        <v>144</v>
      </c>
      <c r="D47" s="7" t="s">
        <v>61</v>
      </c>
      <c r="E47" s="9">
        <v>887</v>
      </c>
      <c r="F47" s="9">
        <v>28</v>
      </c>
      <c r="G47" s="9">
        <v>4</v>
      </c>
      <c r="H47" s="11">
        <v>890.49999800000001</v>
      </c>
      <c r="I47" s="7" t="s">
        <v>143</v>
      </c>
    </row>
    <row r="48" spans="1:9" ht="21" customHeight="1">
      <c r="A48" s="7" t="s">
        <v>45</v>
      </c>
      <c r="B48" s="7" t="s">
        <v>147</v>
      </c>
      <c r="C48" s="7" t="s">
        <v>308</v>
      </c>
      <c r="D48" s="7" t="s">
        <v>61</v>
      </c>
      <c r="E48" s="9">
        <v>19</v>
      </c>
      <c r="F48" s="9">
        <v>0</v>
      </c>
      <c r="G48" s="9">
        <v>0</v>
      </c>
      <c r="H48" s="11">
        <v>0</v>
      </c>
      <c r="I48" s="7" t="s">
        <v>147</v>
      </c>
    </row>
    <row r="49" spans="1:9" ht="21" customHeight="1">
      <c r="A49" s="7" t="s">
        <v>45</v>
      </c>
      <c r="B49" s="7" t="s">
        <v>141</v>
      </c>
      <c r="C49" s="7" t="s">
        <v>142</v>
      </c>
      <c r="D49" s="7" t="s">
        <v>61</v>
      </c>
      <c r="E49" s="9">
        <v>142</v>
      </c>
      <c r="F49" s="9">
        <v>2</v>
      </c>
      <c r="G49" s="9">
        <v>0</v>
      </c>
      <c r="H49" s="11">
        <v>0</v>
      </c>
      <c r="I49" s="7" t="s">
        <v>141</v>
      </c>
    </row>
    <row r="50" spans="1:9" ht="21" customHeight="1">
      <c r="A50" s="7" t="s">
        <v>45</v>
      </c>
      <c r="B50" s="7" t="s">
        <v>149</v>
      </c>
      <c r="C50" s="7" t="s">
        <v>493</v>
      </c>
      <c r="D50" s="7" t="s">
        <v>151</v>
      </c>
      <c r="E50" s="9">
        <v>4</v>
      </c>
      <c r="F50" s="9">
        <v>0</v>
      </c>
      <c r="G50" s="9">
        <v>0</v>
      </c>
      <c r="H50" s="11">
        <v>0</v>
      </c>
      <c r="I50" s="7" t="s">
        <v>152</v>
      </c>
    </row>
    <row r="51" spans="1:9" ht="21" customHeight="1">
      <c r="A51" s="7" t="s">
        <v>45</v>
      </c>
      <c r="B51" s="7" t="s">
        <v>153</v>
      </c>
      <c r="C51" s="7" t="s">
        <v>312</v>
      </c>
      <c r="D51" s="7" t="s">
        <v>61</v>
      </c>
      <c r="E51" s="9">
        <v>13</v>
      </c>
      <c r="F51" s="9">
        <v>0</v>
      </c>
      <c r="G51" s="9">
        <v>0</v>
      </c>
      <c r="H51" s="11">
        <v>0</v>
      </c>
      <c r="I51" s="7" t="s">
        <v>153</v>
      </c>
    </row>
    <row r="52" spans="1:9" ht="21" customHeight="1">
      <c r="A52" s="7" t="s">
        <v>45</v>
      </c>
      <c r="B52" s="7" t="s">
        <v>313</v>
      </c>
      <c r="C52" s="7" t="s">
        <v>314</v>
      </c>
      <c r="D52" s="7" t="s">
        <v>210</v>
      </c>
      <c r="E52" s="9">
        <v>149</v>
      </c>
      <c r="F52" s="9">
        <v>0</v>
      </c>
      <c r="G52" s="9">
        <v>0</v>
      </c>
      <c r="H52" s="11">
        <v>0</v>
      </c>
      <c r="I52" s="7" t="s">
        <v>313</v>
      </c>
    </row>
    <row r="53" spans="1:9" ht="21" customHeight="1">
      <c r="A53" s="7" t="s">
        <v>45</v>
      </c>
      <c r="B53" s="7" t="s">
        <v>137</v>
      </c>
      <c r="C53" s="7" t="s">
        <v>138</v>
      </c>
      <c r="D53" s="7" t="s">
        <v>61</v>
      </c>
      <c r="E53" s="9">
        <v>830</v>
      </c>
      <c r="F53" s="9">
        <v>12</v>
      </c>
      <c r="G53" s="9">
        <v>0</v>
      </c>
      <c r="H53" s="11">
        <v>0</v>
      </c>
      <c r="I53" s="7" t="s">
        <v>137</v>
      </c>
    </row>
    <row r="54" spans="1:9" ht="21" customHeight="1">
      <c r="A54" s="7" t="s">
        <v>45</v>
      </c>
      <c r="B54" s="7" t="s">
        <v>145</v>
      </c>
      <c r="C54" s="7" t="s">
        <v>146</v>
      </c>
      <c r="D54" s="7" t="s">
        <v>61</v>
      </c>
      <c r="E54" s="9">
        <v>56</v>
      </c>
      <c r="F54" s="9">
        <v>3</v>
      </c>
      <c r="G54" s="9">
        <v>0</v>
      </c>
      <c r="H54" s="11">
        <v>0</v>
      </c>
      <c r="I54" s="7" t="s">
        <v>145</v>
      </c>
    </row>
    <row r="55" spans="1:9" ht="21" customHeight="1">
      <c r="A55" s="7" t="s">
        <v>45</v>
      </c>
      <c r="B55" s="7" t="s">
        <v>155</v>
      </c>
      <c r="C55" s="7" t="s">
        <v>315</v>
      </c>
      <c r="D55" s="7" t="s">
        <v>61</v>
      </c>
      <c r="E55" s="9">
        <v>177</v>
      </c>
      <c r="F55" s="9">
        <v>0</v>
      </c>
      <c r="G55" s="9">
        <v>0</v>
      </c>
      <c r="H55" s="11">
        <v>0</v>
      </c>
      <c r="I55" s="7" t="s">
        <v>155</v>
      </c>
    </row>
    <row r="56" spans="1:9" ht="21" customHeight="1">
      <c r="A56" s="7" t="s">
        <v>45</v>
      </c>
      <c r="B56" s="7" t="s">
        <v>157</v>
      </c>
      <c r="C56" s="7" t="s">
        <v>440</v>
      </c>
      <c r="D56" s="7" t="s">
        <v>61</v>
      </c>
      <c r="E56" s="9">
        <v>26</v>
      </c>
      <c r="F56" s="9">
        <v>0</v>
      </c>
      <c r="G56" s="9">
        <v>0</v>
      </c>
      <c r="H56" s="11">
        <v>0</v>
      </c>
      <c r="I56" s="7" t="s">
        <v>157</v>
      </c>
    </row>
    <row r="57" spans="1:9" ht="21" customHeight="1">
      <c r="A57" s="7" t="s">
        <v>45</v>
      </c>
      <c r="B57" s="7" t="s">
        <v>441</v>
      </c>
      <c r="C57" s="7" t="s">
        <v>442</v>
      </c>
      <c r="D57" s="7" t="s">
        <v>61</v>
      </c>
      <c r="E57" s="9">
        <v>316</v>
      </c>
      <c r="F57" s="9">
        <v>3</v>
      </c>
      <c r="G57" s="9">
        <v>0</v>
      </c>
      <c r="H57" s="11">
        <v>0</v>
      </c>
      <c r="I57" s="7" t="s">
        <v>441</v>
      </c>
    </row>
    <row r="58" spans="1:9" ht="21" customHeight="1">
      <c r="A58" s="7" t="s">
        <v>45</v>
      </c>
      <c r="B58" s="7" t="s">
        <v>159</v>
      </c>
      <c r="C58" s="7" t="s">
        <v>316</v>
      </c>
      <c r="D58" s="7" t="s">
        <v>61</v>
      </c>
      <c r="E58" s="9">
        <v>72</v>
      </c>
      <c r="F58" s="9">
        <v>0</v>
      </c>
      <c r="G58" s="9">
        <v>0</v>
      </c>
      <c r="H58" s="11">
        <v>0</v>
      </c>
      <c r="I58" s="7" t="s">
        <v>159</v>
      </c>
    </row>
    <row r="59" spans="1:9" ht="21" customHeight="1">
      <c r="A59" s="7" t="s">
        <v>45</v>
      </c>
      <c r="B59" s="7" t="s">
        <v>160</v>
      </c>
      <c r="C59" s="7" t="s">
        <v>443</v>
      </c>
      <c r="D59" s="7" t="s">
        <v>61</v>
      </c>
      <c r="E59" s="9">
        <v>20</v>
      </c>
      <c r="F59" s="9">
        <v>0</v>
      </c>
      <c r="G59" s="9">
        <v>0</v>
      </c>
      <c r="H59" s="11">
        <v>0</v>
      </c>
      <c r="I59" s="7" t="s">
        <v>160</v>
      </c>
    </row>
    <row r="60" spans="1:9" ht="21" customHeight="1">
      <c r="A60" s="7" t="s">
        <v>45</v>
      </c>
      <c r="B60" s="7" t="s">
        <v>162</v>
      </c>
      <c r="C60" s="7" t="s">
        <v>309</v>
      </c>
      <c r="D60" s="7" t="s">
        <v>61</v>
      </c>
      <c r="E60" s="9">
        <v>17</v>
      </c>
      <c r="F60" s="9">
        <v>0</v>
      </c>
      <c r="G60" s="9">
        <v>0</v>
      </c>
      <c r="H60" s="11">
        <v>0</v>
      </c>
      <c r="I60" s="7" t="s">
        <v>162</v>
      </c>
    </row>
    <row r="61" spans="1:9" ht="21" customHeight="1">
      <c r="A61" s="7" t="s">
        <v>45</v>
      </c>
      <c r="B61" s="7" t="s">
        <v>164</v>
      </c>
      <c r="C61" s="7" t="s">
        <v>317</v>
      </c>
      <c r="D61" s="7" t="s">
        <v>61</v>
      </c>
      <c r="E61" s="9">
        <v>346</v>
      </c>
      <c r="F61" s="9">
        <v>13</v>
      </c>
      <c r="G61" s="9">
        <v>0</v>
      </c>
      <c r="H61" s="11">
        <v>0</v>
      </c>
      <c r="I61" s="7" t="s">
        <v>164</v>
      </c>
    </row>
    <row r="62" spans="1:9" ht="21" customHeight="1">
      <c r="A62" s="7" t="s">
        <v>45</v>
      </c>
      <c r="B62" s="7" t="s">
        <v>166</v>
      </c>
      <c r="C62" s="7" t="s">
        <v>318</v>
      </c>
      <c r="D62" s="7" t="s">
        <v>61</v>
      </c>
      <c r="E62" s="9">
        <v>28</v>
      </c>
      <c r="F62" s="9">
        <v>0</v>
      </c>
      <c r="G62" s="9">
        <v>0</v>
      </c>
      <c r="H62" s="11">
        <v>0</v>
      </c>
      <c r="I62" s="7" t="s">
        <v>166</v>
      </c>
    </row>
    <row r="63" spans="1:9" ht="21" customHeight="1">
      <c r="A63" s="7" t="s">
        <v>45</v>
      </c>
      <c r="B63" s="7" t="s">
        <v>168</v>
      </c>
      <c r="C63" s="7" t="s">
        <v>494</v>
      </c>
      <c r="D63" s="7" t="s">
        <v>61</v>
      </c>
      <c r="E63" s="9">
        <v>53</v>
      </c>
      <c r="F63" s="9">
        <v>1</v>
      </c>
      <c r="G63" s="9">
        <v>0</v>
      </c>
      <c r="H63" s="11">
        <v>0</v>
      </c>
      <c r="I63" s="7" t="s">
        <v>169</v>
      </c>
    </row>
    <row r="64" spans="1:9" ht="21" customHeight="1">
      <c r="A64" s="7" t="s">
        <v>46</v>
      </c>
      <c r="B64" s="7" t="s">
        <v>171</v>
      </c>
      <c r="C64" s="7" t="s">
        <v>172</v>
      </c>
      <c r="D64" s="7" t="s">
        <v>61</v>
      </c>
      <c r="E64" s="9">
        <v>4441</v>
      </c>
      <c r="F64" s="9">
        <v>55</v>
      </c>
      <c r="G64" s="9">
        <v>2</v>
      </c>
      <c r="H64" s="11">
        <v>3065.0000009999999</v>
      </c>
      <c r="I64" s="7" t="s">
        <v>171</v>
      </c>
    </row>
    <row r="65" spans="1:9" ht="21" customHeight="1">
      <c r="A65" s="7" t="s">
        <v>46</v>
      </c>
      <c r="B65" s="7" t="s">
        <v>177</v>
      </c>
      <c r="C65" s="7" t="s">
        <v>178</v>
      </c>
      <c r="D65" s="7" t="s">
        <v>61</v>
      </c>
      <c r="E65" s="9">
        <v>153</v>
      </c>
      <c r="F65" s="9">
        <v>11</v>
      </c>
      <c r="G65" s="9">
        <v>4</v>
      </c>
      <c r="H65" s="11">
        <v>900.000001</v>
      </c>
      <c r="I65" s="7" t="s">
        <v>177</v>
      </c>
    </row>
    <row r="66" spans="1:9" ht="21" customHeight="1">
      <c r="A66" s="7" t="s">
        <v>46</v>
      </c>
      <c r="B66" s="7" t="s">
        <v>175</v>
      </c>
      <c r="C66" s="7" t="s">
        <v>176</v>
      </c>
      <c r="D66" s="7" t="s">
        <v>61</v>
      </c>
      <c r="E66" s="9">
        <v>1277</v>
      </c>
      <c r="F66" s="9">
        <v>12</v>
      </c>
      <c r="G66" s="9">
        <v>1</v>
      </c>
      <c r="H66" s="11">
        <v>424.99999800000001</v>
      </c>
      <c r="I66" s="7" t="s">
        <v>175</v>
      </c>
    </row>
    <row r="67" spans="1:9" ht="21" customHeight="1">
      <c r="A67" s="7" t="s">
        <v>46</v>
      </c>
      <c r="B67" s="7" t="s">
        <v>320</v>
      </c>
      <c r="C67" s="7" t="s">
        <v>321</v>
      </c>
      <c r="D67" s="7" t="s">
        <v>61</v>
      </c>
      <c r="E67" s="9">
        <v>179</v>
      </c>
      <c r="F67" s="9">
        <v>3</v>
      </c>
      <c r="G67" s="9">
        <v>0</v>
      </c>
      <c r="H67" s="11">
        <v>0</v>
      </c>
      <c r="I67" s="7" t="s">
        <v>320</v>
      </c>
    </row>
    <row r="68" spans="1:9" ht="21" customHeight="1">
      <c r="A68" s="7" t="s">
        <v>46</v>
      </c>
      <c r="B68" s="7" t="s">
        <v>173</v>
      </c>
      <c r="C68" s="7" t="s">
        <v>445</v>
      </c>
      <c r="D68" s="7" t="s">
        <v>61</v>
      </c>
      <c r="E68" s="9">
        <v>279</v>
      </c>
      <c r="F68" s="9">
        <v>2</v>
      </c>
      <c r="G68" s="9">
        <v>0</v>
      </c>
      <c r="H68" s="11">
        <v>0</v>
      </c>
      <c r="I68" s="7" t="s">
        <v>173</v>
      </c>
    </row>
    <row r="69" spans="1:9" ht="21" customHeight="1">
      <c r="A69" s="7" t="s">
        <v>47</v>
      </c>
      <c r="B69" s="7" t="s">
        <v>182</v>
      </c>
      <c r="C69" s="7" t="s">
        <v>446</v>
      </c>
      <c r="D69" s="7" t="s">
        <v>181</v>
      </c>
      <c r="E69" s="9">
        <v>408</v>
      </c>
      <c r="F69" s="9">
        <v>7</v>
      </c>
      <c r="G69" s="9">
        <v>0</v>
      </c>
      <c r="H69" s="11">
        <v>0</v>
      </c>
      <c r="I69" s="7" t="s">
        <v>182</v>
      </c>
    </row>
    <row r="70" spans="1:9" ht="21" customHeight="1">
      <c r="A70" s="7" t="s">
        <v>47</v>
      </c>
      <c r="B70" s="7" t="s">
        <v>447</v>
      </c>
      <c r="C70" s="7" t="s">
        <v>448</v>
      </c>
      <c r="D70" s="7" t="s">
        <v>181</v>
      </c>
      <c r="E70" s="9">
        <v>129</v>
      </c>
      <c r="F70" s="9">
        <v>0</v>
      </c>
      <c r="G70" s="9">
        <v>0</v>
      </c>
      <c r="H70" s="11">
        <v>0</v>
      </c>
      <c r="I70" s="7" t="s">
        <v>447</v>
      </c>
    </row>
    <row r="71" spans="1:9" ht="21" customHeight="1">
      <c r="A71" s="7" t="s">
        <v>47</v>
      </c>
      <c r="B71" s="7" t="s">
        <v>179</v>
      </c>
      <c r="C71" s="7" t="s">
        <v>520</v>
      </c>
      <c r="D71" s="7" t="s">
        <v>181</v>
      </c>
      <c r="E71" s="9">
        <v>149</v>
      </c>
      <c r="F71" s="9">
        <v>9</v>
      </c>
      <c r="G71" s="9">
        <v>0</v>
      </c>
      <c r="H71" s="11">
        <v>0</v>
      </c>
      <c r="I71" s="7" t="s">
        <v>179</v>
      </c>
    </row>
    <row r="72" spans="1:9" ht="21" customHeight="1">
      <c r="A72" s="7" t="s">
        <v>47</v>
      </c>
      <c r="B72" s="7" t="s">
        <v>190</v>
      </c>
      <c r="C72" s="7" t="s">
        <v>330</v>
      </c>
      <c r="D72" s="7" t="s">
        <v>181</v>
      </c>
      <c r="E72" s="9">
        <v>137</v>
      </c>
      <c r="F72" s="9">
        <v>5</v>
      </c>
      <c r="G72" s="9">
        <v>0</v>
      </c>
      <c r="H72" s="11">
        <v>0</v>
      </c>
      <c r="I72" s="7" t="s">
        <v>190</v>
      </c>
    </row>
    <row r="73" spans="1:9" ht="21" customHeight="1">
      <c r="A73" s="7" t="s">
        <v>47</v>
      </c>
      <c r="B73" s="7" t="s">
        <v>192</v>
      </c>
      <c r="C73" s="7" t="s">
        <v>449</v>
      </c>
      <c r="D73" s="7" t="s">
        <v>181</v>
      </c>
      <c r="E73" s="9">
        <v>165</v>
      </c>
      <c r="F73" s="9">
        <v>2</v>
      </c>
      <c r="G73" s="9">
        <v>0</v>
      </c>
      <c r="H73" s="11">
        <v>0</v>
      </c>
      <c r="I73" s="7" t="s">
        <v>192</v>
      </c>
    </row>
    <row r="74" spans="1:9" ht="21" customHeight="1">
      <c r="A74" s="7" t="s">
        <v>47</v>
      </c>
      <c r="B74" s="7" t="s">
        <v>450</v>
      </c>
      <c r="C74" s="7" t="s">
        <v>451</v>
      </c>
      <c r="D74" s="7" t="s">
        <v>181</v>
      </c>
      <c r="E74" s="9">
        <v>330</v>
      </c>
      <c r="F74" s="9">
        <v>17</v>
      </c>
      <c r="G74" s="9">
        <v>0</v>
      </c>
      <c r="H74" s="11">
        <v>0</v>
      </c>
      <c r="I74" s="7" t="s">
        <v>450</v>
      </c>
    </row>
    <row r="75" spans="1:9" ht="21" customHeight="1">
      <c r="A75" s="7" t="s">
        <v>47</v>
      </c>
      <c r="B75" s="7" t="s">
        <v>521</v>
      </c>
      <c r="C75" s="7" t="s">
        <v>522</v>
      </c>
      <c r="D75" s="7" t="s">
        <v>181</v>
      </c>
      <c r="E75" s="9">
        <v>38</v>
      </c>
      <c r="F75" s="9">
        <v>0</v>
      </c>
      <c r="G75" s="9">
        <v>0</v>
      </c>
      <c r="H75" s="11">
        <v>0</v>
      </c>
      <c r="I75" s="7" t="s">
        <v>521</v>
      </c>
    </row>
    <row r="76" spans="1:9" ht="21" customHeight="1">
      <c r="A76" s="7" t="s">
        <v>47</v>
      </c>
      <c r="B76" s="7" t="s">
        <v>184</v>
      </c>
      <c r="C76" s="7" t="s">
        <v>495</v>
      </c>
      <c r="D76" s="7" t="s">
        <v>181</v>
      </c>
      <c r="E76" s="9">
        <v>226</v>
      </c>
      <c r="F76" s="9">
        <v>4</v>
      </c>
      <c r="G76" s="9">
        <v>0</v>
      </c>
      <c r="H76" s="11">
        <v>0</v>
      </c>
      <c r="I76" s="7" t="s">
        <v>184</v>
      </c>
    </row>
    <row r="77" spans="1:9" ht="21" customHeight="1">
      <c r="A77" s="7" t="s">
        <v>47</v>
      </c>
      <c r="B77" s="7" t="s">
        <v>194</v>
      </c>
      <c r="C77" s="7" t="s">
        <v>331</v>
      </c>
      <c r="D77" s="7" t="s">
        <v>181</v>
      </c>
      <c r="E77" s="9">
        <v>306</v>
      </c>
      <c r="F77" s="9">
        <v>12</v>
      </c>
      <c r="G77" s="9">
        <v>0</v>
      </c>
      <c r="H77" s="11">
        <v>0</v>
      </c>
      <c r="I77" s="7" t="s">
        <v>194</v>
      </c>
    </row>
    <row r="78" spans="1:9" ht="21" customHeight="1">
      <c r="A78" s="7" t="s">
        <v>47</v>
      </c>
      <c r="B78" s="7" t="s">
        <v>498</v>
      </c>
      <c r="C78" s="7" t="s">
        <v>563</v>
      </c>
      <c r="D78" s="7" t="s">
        <v>181</v>
      </c>
      <c r="E78" s="9">
        <v>141</v>
      </c>
      <c r="F78" s="9">
        <v>0</v>
      </c>
      <c r="G78" s="9">
        <v>0</v>
      </c>
      <c r="H78" s="11">
        <v>0</v>
      </c>
      <c r="I78" s="7" t="s">
        <v>498</v>
      </c>
    </row>
    <row r="79" spans="1:9" ht="21" customHeight="1">
      <c r="A79" s="7" t="s">
        <v>47</v>
      </c>
      <c r="B79" s="7" t="s">
        <v>186</v>
      </c>
      <c r="C79" s="7" t="s">
        <v>333</v>
      </c>
      <c r="D79" s="7" t="s">
        <v>181</v>
      </c>
      <c r="E79" s="9">
        <v>520</v>
      </c>
      <c r="F79" s="9">
        <v>1</v>
      </c>
      <c r="G79" s="9">
        <v>0</v>
      </c>
      <c r="H79" s="11">
        <v>0</v>
      </c>
      <c r="I79" s="7" t="s">
        <v>186</v>
      </c>
    </row>
    <row r="80" spans="1:9" ht="21" customHeight="1">
      <c r="A80" s="7" t="s">
        <v>47</v>
      </c>
      <c r="B80" s="7" t="s">
        <v>196</v>
      </c>
      <c r="C80" s="7" t="s">
        <v>323</v>
      </c>
      <c r="D80" s="7" t="s">
        <v>181</v>
      </c>
      <c r="E80" s="9">
        <v>226</v>
      </c>
      <c r="F80" s="9">
        <v>2</v>
      </c>
      <c r="G80" s="9">
        <v>0</v>
      </c>
      <c r="H80" s="11">
        <v>0</v>
      </c>
      <c r="I80" s="7" t="s">
        <v>196</v>
      </c>
    </row>
    <row r="81" spans="1:9" ht="21" customHeight="1">
      <c r="A81" s="7" t="s">
        <v>47</v>
      </c>
      <c r="B81" s="7" t="s">
        <v>198</v>
      </c>
      <c r="C81" s="7" t="s">
        <v>496</v>
      </c>
      <c r="D81" s="7" t="s">
        <v>181</v>
      </c>
      <c r="E81" s="9">
        <v>570</v>
      </c>
      <c r="F81" s="9">
        <v>5</v>
      </c>
      <c r="G81" s="9">
        <v>0</v>
      </c>
      <c r="H81" s="11">
        <v>0</v>
      </c>
      <c r="I81" s="7" t="s">
        <v>198</v>
      </c>
    </row>
    <row r="82" spans="1:9" ht="21" customHeight="1">
      <c r="A82" s="7" t="s">
        <v>47</v>
      </c>
      <c r="B82" s="7" t="s">
        <v>452</v>
      </c>
      <c r="C82" s="7" t="s">
        <v>453</v>
      </c>
      <c r="D82" s="7" t="s">
        <v>181</v>
      </c>
      <c r="E82" s="9">
        <v>53</v>
      </c>
      <c r="F82" s="9">
        <v>0</v>
      </c>
      <c r="G82" s="9">
        <v>0</v>
      </c>
      <c r="H82" s="11">
        <v>0</v>
      </c>
      <c r="I82" s="7" t="s">
        <v>452</v>
      </c>
    </row>
    <row r="83" spans="1:9" ht="21" customHeight="1">
      <c r="A83" s="7" t="s">
        <v>47</v>
      </c>
      <c r="B83" s="7" t="s">
        <v>200</v>
      </c>
      <c r="C83" s="7" t="s">
        <v>454</v>
      </c>
      <c r="D83" s="7" t="s">
        <v>181</v>
      </c>
      <c r="E83" s="9">
        <v>174</v>
      </c>
      <c r="F83" s="9">
        <v>2</v>
      </c>
      <c r="G83" s="9">
        <v>0</v>
      </c>
      <c r="H83" s="11">
        <v>0</v>
      </c>
      <c r="I83" s="7" t="s">
        <v>200</v>
      </c>
    </row>
    <row r="84" spans="1:9" ht="21" customHeight="1">
      <c r="A84" s="7" t="s">
        <v>47</v>
      </c>
      <c r="B84" s="7" t="s">
        <v>202</v>
      </c>
      <c r="C84" s="7" t="s">
        <v>326</v>
      </c>
      <c r="D84" s="7" t="s">
        <v>181</v>
      </c>
      <c r="E84" s="9">
        <v>247</v>
      </c>
      <c r="F84" s="9">
        <v>1</v>
      </c>
      <c r="G84" s="9">
        <v>0</v>
      </c>
      <c r="H84" s="11">
        <v>0</v>
      </c>
      <c r="I84" s="7" t="s">
        <v>202</v>
      </c>
    </row>
    <row r="85" spans="1:9" ht="21" customHeight="1">
      <c r="A85" s="7" t="s">
        <v>47</v>
      </c>
      <c r="B85" s="7" t="s">
        <v>188</v>
      </c>
      <c r="C85" s="7" t="s">
        <v>189</v>
      </c>
      <c r="D85" s="7" t="s">
        <v>181</v>
      </c>
      <c r="E85" s="9">
        <v>266</v>
      </c>
      <c r="F85" s="9">
        <v>7</v>
      </c>
      <c r="G85" s="9">
        <v>0</v>
      </c>
      <c r="H85" s="11">
        <v>0</v>
      </c>
      <c r="I85" s="7" t="s">
        <v>188</v>
      </c>
    </row>
    <row r="86" spans="1:9" ht="21" customHeight="1">
      <c r="A86" s="7" t="s">
        <v>47</v>
      </c>
      <c r="B86" s="7" t="s">
        <v>204</v>
      </c>
      <c r="C86" s="7" t="s">
        <v>455</v>
      </c>
      <c r="D86" s="7" t="s">
        <v>181</v>
      </c>
      <c r="E86" s="9">
        <v>223</v>
      </c>
      <c r="F86" s="9">
        <v>1</v>
      </c>
      <c r="G86" s="9">
        <v>0</v>
      </c>
      <c r="H86" s="11">
        <v>0</v>
      </c>
      <c r="I86" s="7" t="s">
        <v>204</v>
      </c>
    </row>
    <row r="87" spans="1:9" ht="21" customHeight="1">
      <c r="A87" s="7" t="s">
        <v>47</v>
      </c>
      <c r="B87" s="7" t="s">
        <v>537</v>
      </c>
      <c r="C87" s="7" t="s">
        <v>538</v>
      </c>
      <c r="D87" s="7" t="s">
        <v>181</v>
      </c>
      <c r="E87" s="9">
        <v>160</v>
      </c>
      <c r="F87" s="9">
        <v>2</v>
      </c>
      <c r="G87" s="9">
        <v>0</v>
      </c>
      <c r="H87" s="11">
        <v>0</v>
      </c>
      <c r="I87" s="7" t="s">
        <v>537</v>
      </c>
    </row>
    <row r="88" spans="1:9" ht="21" customHeight="1">
      <c r="A88" s="7" t="s">
        <v>47</v>
      </c>
      <c r="B88" s="7" t="s">
        <v>206</v>
      </c>
      <c r="C88" s="7" t="s">
        <v>334</v>
      </c>
      <c r="D88" s="7" t="s">
        <v>181</v>
      </c>
      <c r="E88" s="9">
        <v>253</v>
      </c>
      <c r="F88" s="9">
        <v>0</v>
      </c>
      <c r="G88" s="9">
        <v>0</v>
      </c>
      <c r="H88" s="11">
        <v>0</v>
      </c>
      <c r="I88" s="7" t="s">
        <v>206</v>
      </c>
    </row>
    <row r="89" spans="1:9" ht="21" customHeight="1">
      <c r="A89" s="7" t="s">
        <v>48</v>
      </c>
      <c r="B89" s="7" t="s">
        <v>208</v>
      </c>
      <c r="C89" s="7" t="s">
        <v>457</v>
      </c>
      <c r="D89" s="7" t="s">
        <v>210</v>
      </c>
      <c r="E89" s="9">
        <v>53</v>
      </c>
      <c r="F89" s="9">
        <v>0</v>
      </c>
      <c r="G89" s="9">
        <v>0</v>
      </c>
      <c r="H89" s="11">
        <v>0</v>
      </c>
      <c r="I89" s="7" t="s">
        <v>208</v>
      </c>
    </row>
    <row r="90" spans="1:9" ht="21" customHeight="1">
      <c r="A90" s="7" t="s">
        <v>48</v>
      </c>
      <c r="B90" s="7" t="s">
        <v>211</v>
      </c>
      <c r="C90" s="7" t="s">
        <v>458</v>
      </c>
      <c r="D90" s="7" t="s">
        <v>213</v>
      </c>
      <c r="E90" s="9">
        <v>2</v>
      </c>
      <c r="F90" s="9">
        <v>0</v>
      </c>
      <c r="G90" s="9">
        <v>0</v>
      </c>
      <c r="H90" s="11">
        <v>0</v>
      </c>
      <c r="I90" s="7" t="s">
        <v>211</v>
      </c>
    </row>
    <row r="91" spans="1:9" ht="21" customHeight="1">
      <c r="A91" s="7" t="s">
        <v>48</v>
      </c>
      <c r="B91" s="7" t="s">
        <v>216</v>
      </c>
      <c r="C91" s="7" t="s">
        <v>546</v>
      </c>
      <c r="D91" s="7" t="s">
        <v>61</v>
      </c>
      <c r="E91" s="9">
        <v>2</v>
      </c>
      <c r="F91" s="9">
        <v>0</v>
      </c>
      <c r="G91" s="9">
        <v>0</v>
      </c>
      <c r="H91" s="11">
        <v>0</v>
      </c>
      <c r="I91" s="7" t="s">
        <v>216</v>
      </c>
    </row>
    <row r="92" spans="1:9" ht="21" customHeight="1">
      <c r="A92" s="7" t="s">
        <v>48</v>
      </c>
      <c r="B92" s="7" t="s">
        <v>220</v>
      </c>
      <c r="C92" s="7" t="s">
        <v>461</v>
      </c>
      <c r="D92" s="7" t="s">
        <v>210</v>
      </c>
      <c r="E92" s="9">
        <v>20</v>
      </c>
      <c r="F92" s="9">
        <v>1</v>
      </c>
      <c r="G92" s="9">
        <v>0</v>
      </c>
      <c r="H92" s="11">
        <v>0</v>
      </c>
      <c r="I92" s="7" t="s">
        <v>220</v>
      </c>
    </row>
    <row r="93" spans="1:9" ht="21" customHeight="1">
      <c r="A93" s="7" t="s">
        <v>48</v>
      </c>
      <c r="B93" s="7" t="s">
        <v>222</v>
      </c>
      <c r="C93" s="7" t="s">
        <v>462</v>
      </c>
      <c r="D93" s="7" t="s">
        <v>210</v>
      </c>
      <c r="E93" s="9">
        <v>35</v>
      </c>
      <c r="F93" s="9">
        <v>0</v>
      </c>
      <c r="G93" s="9">
        <v>0</v>
      </c>
      <c r="H93" s="11">
        <v>0</v>
      </c>
      <c r="I93" s="7" t="s">
        <v>222</v>
      </c>
    </row>
    <row r="94" spans="1:9" ht="21" customHeight="1">
      <c r="A94" s="7" t="s">
        <v>48</v>
      </c>
      <c r="B94" s="7" t="s">
        <v>224</v>
      </c>
      <c r="C94" s="7" t="s">
        <v>503</v>
      </c>
      <c r="D94" s="7" t="s">
        <v>213</v>
      </c>
      <c r="E94" s="9">
        <v>2</v>
      </c>
      <c r="F94" s="9">
        <v>0</v>
      </c>
      <c r="G94" s="9">
        <v>0</v>
      </c>
      <c r="H94" s="11">
        <v>0</v>
      </c>
      <c r="I94" s="7" t="s">
        <v>224</v>
      </c>
    </row>
    <row r="95" spans="1:9" ht="21" customHeight="1">
      <c r="A95" s="7" t="s">
        <v>48</v>
      </c>
      <c r="B95" s="7" t="s">
        <v>226</v>
      </c>
      <c r="C95" s="7" t="s">
        <v>463</v>
      </c>
      <c r="D95" s="7" t="s">
        <v>210</v>
      </c>
      <c r="E95" s="9">
        <v>75</v>
      </c>
      <c r="F95" s="9">
        <v>0</v>
      </c>
      <c r="G95" s="9">
        <v>0</v>
      </c>
      <c r="H95" s="11">
        <v>0</v>
      </c>
      <c r="I95" s="7" t="s">
        <v>226</v>
      </c>
    </row>
    <row r="96" spans="1:9" ht="21" customHeight="1">
      <c r="A96" s="7" t="s">
        <v>48</v>
      </c>
      <c r="B96" s="7" t="s">
        <v>228</v>
      </c>
      <c r="C96" s="7" t="s">
        <v>464</v>
      </c>
      <c r="D96" s="7" t="s">
        <v>210</v>
      </c>
      <c r="E96" s="9">
        <v>46</v>
      </c>
      <c r="F96" s="9">
        <v>0</v>
      </c>
      <c r="G96" s="9">
        <v>0</v>
      </c>
      <c r="H96" s="11">
        <v>0</v>
      </c>
      <c r="I96" s="7" t="s">
        <v>228</v>
      </c>
    </row>
    <row r="97" spans="1:9" ht="21" customHeight="1">
      <c r="A97" s="7" t="s">
        <v>48</v>
      </c>
      <c r="B97" s="7" t="s">
        <v>230</v>
      </c>
      <c r="C97" s="7" t="s">
        <v>547</v>
      </c>
      <c r="D97" s="7" t="s">
        <v>61</v>
      </c>
      <c r="E97" s="9">
        <v>331</v>
      </c>
      <c r="F97" s="9">
        <v>7</v>
      </c>
      <c r="G97" s="9">
        <v>0</v>
      </c>
      <c r="H97" s="11">
        <v>0</v>
      </c>
      <c r="I97" s="7" t="s">
        <v>230</v>
      </c>
    </row>
    <row r="98" spans="1:9" ht="21" customHeight="1">
      <c r="A98" s="7" t="s">
        <v>48</v>
      </c>
      <c r="B98" s="7" t="s">
        <v>504</v>
      </c>
      <c r="C98" s="7" t="s">
        <v>505</v>
      </c>
      <c r="D98" s="7" t="s">
        <v>213</v>
      </c>
      <c r="E98" s="9">
        <v>4</v>
      </c>
      <c r="F98" s="9">
        <v>0</v>
      </c>
      <c r="G98" s="9">
        <v>0</v>
      </c>
      <c r="H98" s="11">
        <v>0</v>
      </c>
      <c r="I98" s="7" t="s">
        <v>504</v>
      </c>
    </row>
    <row r="99" spans="1:9" ht="21" customHeight="1">
      <c r="A99" s="7" t="s">
        <v>48</v>
      </c>
      <c r="B99" s="7" t="s">
        <v>346</v>
      </c>
      <c r="C99" s="7" t="s">
        <v>540</v>
      </c>
      <c r="D99" s="7" t="s">
        <v>213</v>
      </c>
      <c r="E99" s="9">
        <v>2</v>
      </c>
      <c r="F99" s="9">
        <v>0</v>
      </c>
      <c r="G99" s="9">
        <v>0</v>
      </c>
      <c r="H99" s="11">
        <v>0</v>
      </c>
      <c r="I99" s="7" t="s">
        <v>346</v>
      </c>
    </row>
    <row r="100" spans="1:9" ht="21" customHeight="1">
      <c r="A100" s="7" t="s">
        <v>48</v>
      </c>
      <c r="B100" s="7" t="s">
        <v>232</v>
      </c>
      <c r="C100" s="7" t="s">
        <v>506</v>
      </c>
      <c r="D100" s="7" t="s">
        <v>61</v>
      </c>
      <c r="E100" s="9">
        <v>377</v>
      </c>
      <c r="F100" s="9">
        <v>2</v>
      </c>
      <c r="G100" s="9">
        <v>0</v>
      </c>
      <c r="H100" s="11">
        <v>0</v>
      </c>
      <c r="I100" s="7" t="s">
        <v>232</v>
      </c>
    </row>
    <row r="101" spans="1:9" ht="21" customHeight="1">
      <c r="A101" s="7" t="s">
        <v>48</v>
      </c>
      <c r="B101" s="7" t="s">
        <v>234</v>
      </c>
      <c r="C101" s="7" t="s">
        <v>507</v>
      </c>
      <c r="D101" s="7" t="s">
        <v>61</v>
      </c>
      <c r="E101" s="9">
        <v>7</v>
      </c>
      <c r="F101" s="9">
        <v>0</v>
      </c>
      <c r="G101" s="9">
        <v>0</v>
      </c>
      <c r="H101" s="11">
        <v>0</v>
      </c>
      <c r="I101" s="7" t="s">
        <v>234</v>
      </c>
    </row>
    <row r="102" spans="1:9" ht="21" customHeight="1">
      <c r="A102" s="7" t="s">
        <v>48</v>
      </c>
      <c r="B102" s="7" t="s">
        <v>238</v>
      </c>
      <c r="C102" s="7" t="s">
        <v>468</v>
      </c>
      <c r="D102" s="7" t="s">
        <v>61</v>
      </c>
      <c r="E102" s="9">
        <v>41</v>
      </c>
      <c r="F102" s="9">
        <v>0</v>
      </c>
      <c r="G102" s="9">
        <v>0</v>
      </c>
      <c r="H102" s="11">
        <v>0</v>
      </c>
      <c r="I102" s="7" t="s">
        <v>238</v>
      </c>
    </row>
    <row r="103" spans="1:9" ht="21" customHeight="1">
      <c r="A103" s="7" t="s">
        <v>49</v>
      </c>
      <c r="B103" s="7" t="s">
        <v>247</v>
      </c>
      <c r="C103" s="7" t="s">
        <v>470</v>
      </c>
      <c r="D103" s="7" t="s">
        <v>61</v>
      </c>
      <c r="E103" s="9">
        <v>1</v>
      </c>
      <c r="F103" s="9">
        <v>0</v>
      </c>
      <c r="G103" s="9">
        <v>0</v>
      </c>
      <c r="H103" s="11">
        <v>0</v>
      </c>
      <c r="I103" s="7" t="s">
        <v>247</v>
      </c>
    </row>
    <row r="104" spans="1:9" ht="21" customHeight="1">
      <c r="A104" s="7" t="s">
        <v>50</v>
      </c>
      <c r="B104" s="7" t="s">
        <v>255</v>
      </c>
      <c r="C104" s="7" t="s">
        <v>511</v>
      </c>
      <c r="D104" s="7" t="s">
        <v>250</v>
      </c>
      <c r="E104" s="9">
        <v>20</v>
      </c>
      <c r="F104" s="9">
        <v>0</v>
      </c>
      <c r="G104" s="9">
        <v>4</v>
      </c>
      <c r="H104" s="11">
        <v>0</v>
      </c>
      <c r="I104" s="7" t="s">
        <v>255</v>
      </c>
    </row>
    <row r="105" spans="1:9" ht="21" customHeight="1">
      <c r="A105" s="7" t="s">
        <v>51</v>
      </c>
      <c r="B105" s="7" t="s">
        <v>257</v>
      </c>
      <c r="C105" s="7" t="s">
        <v>471</v>
      </c>
      <c r="D105" s="7" t="s">
        <v>259</v>
      </c>
      <c r="E105" s="9">
        <v>21</v>
      </c>
      <c r="F105" s="9">
        <v>0</v>
      </c>
      <c r="G105" s="9">
        <v>0</v>
      </c>
      <c r="H105" s="11">
        <v>0</v>
      </c>
      <c r="I105" s="7" t="s">
        <v>257</v>
      </c>
    </row>
    <row r="106" spans="1:9" ht="21" customHeight="1">
      <c r="A106" s="7" t="s">
        <v>52</v>
      </c>
      <c r="B106" s="7" t="s">
        <v>260</v>
      </c>
      <c r="C106" s="7" t="s">
        <v>512</v>
      </c>
      <c r="D106" s="7" t="s">
        <v>262</v>
      </c>
      <c r="E106" s="9">
        <v>490</v>
      </c>
      <c r="F106" s="9">
        <v>0</v>
      </c>
      <c r="G106" s="9">
        <v>0</v>
      </c>
      <c r="H106" s="11">
        <v>0</v>
      </c>
      <c r="I106" s="7" t="s">
        <v>260</v>
      </c>
    </row>
    <row r="107" spans="1:9" ht="21" customHeight="1">
      <c r="A107" s="7" t="s">
        <v>52</v>
      </c>
      <c r="B107" s="7" t="s">
        <v>263</v>
      </c>
      <c r="C107" s="7" t="s">
        <v>513</v>
      </c>
      <c r="D107" s="7" t="s">
        <v>262</v>
      </c>
      <c r="E107" s="9">
        <v>321</v>
      </c>
      <c r="F107" s="9">
        <v>0</v>
      </c>
      <c r="G107" s="9">
        <v>0</v>
      </c>
      <c r="H107" s="11">
        <v>0</v>
      </c>
      <c r="I107" s="7" t="s">
        <v>263</v>
      </c>
    </row>
    <row r="108" spans="1:9" ht="21" customHeight="1">
      <c r="A108" s="7" t="s">
        <v>52</v>
      </c>
      <c r="B108" s="7" t="s">
        <v>265</v>
      </c>
      <c r="C108" s="7" t="s">
        <v>419</v>
      </c>
      <c r="D108" s="7" t="s">
        <v>262</v>
      </c>
      <c r="E108" s="9">
        <v>151</v>
      </c>
      <c r="F108" s="9">
        <v>4</v>
      </c>
      <c r="G108" s="9">
        <v>0</v>
      </c>
      <c r="H108" s="11">
        <v>0</v>
      </c>
      <c r="I108" s="7" t="s">
        <v>265</v>
      </c>
    </row>
    <row r="109" spans="1:9" ht="21" customHeight="1">
      <c r="A109" s="7" t="s">
        <v>52</v>
      </c>
      <c r="B109" s="7" t="s">
        <v>267</v>
      </c>
      <c r="C109" s="7" t="s">
        <v>473</v>
      </c>
      <c r="D109" s="7" t="s">
        <v>262</v>
      </c>
      <c r="E109" s="9">
        <v>3</v>
      </c>
      <c r="F109" s="9">
        <v>0</v>
      </c>
      <c r="G109" s="9">
        <v>0</v>
      </c>
      <c r="H109" s="11">
        <v>0</v>
      </c>
      <c r="I109" s="7" t="s">
        <v>267</v>
      </c>
    </row>
    <row r="110" spans="1:9" ht="21" customHeight="1">
      <c r="A110" s="7" t="s">
        <v>52</v>
      </c>
      <c r="B110" s="7" t="s">
        <v>268</v>
      </c>
      <c r="C110" s="7" t="s">
        <v>514</v>
      </c>
      <c r="D110" s="7" t="s">
        <v>262</v>
      </c>
      <c r="E110" s="9">
        <v>5</v>
      </c>
      <c r="F110" s="9">
        <v>0</v>
      </c>
      <c r="G110" s="9">
        <v>0</v>
      </c>
      <c r="H110" s="11">
        <v>0</v>
      </c>
      <c r="I110" s="7" t="s">
        <v>268</v>
      </c>
    </row>
    <row r="111" spans="1:9" ht="21" customHeight="1">
      <c r="A111" s="7" t="s">
        <v>52</v>
      </c>
      <c r="B111" s="7" t="s">
        <v>269</v>
      </c>
      <c r="C111" s="7" t="s">
        <v>421</v>
      </c>
      <c r="D111" s="7" t="s">
        <v>262</v>
      </c>
      <c r="E111" s="9">
        <v>45</v>
      </c>
      <c r="F111" s="9">
        <v>0</v>
      </c>
      <c r="G111" s="9">
        <v>0</v>
      </c>
      <c r="H111" s="11">
        <v>0</v>
      </c>
      <c r="I111" s="7" t="s">
        <v>269</v>
      </c>
    </row>
    <row r="112" spans="1:9" ht="21" customHeight="1">
      <c r="A112" s="7" t="s">
        <v>52</v>
      </c>
      <c r="B112" s="7" t="s">
        <v>271</v>
      </c>
      <c r="C112" s="7" t="s">
        <v>475</v>
      </c>
      <c r="D112" s="7" t="s">
        <v>262</v>
      </c>
      <c r="E112" s="9">
        <v>42</v>
      </c>
      <c r="F112" s="9">
        <v>1</v>
      </c>
      <c r="G112" s="9">
        <v>0</v>
      </c>
      <c r="H112" s="11">
        <v>0</v>
      </c>
      <c r="I112" s="7" t="s">
        <v>271</v>
      </c>
    </row>
    <row r="113" spans="1:9" ht="21" customHeight="1">
      <c r="A113" s="7" t="s">
        <v>52</v>
      </c>
      <c r="B113" s="7" t="s">
        <v>273</v>
      </c>
      <c r="C113" s="7" t="s">
        <v>541</v>
      </c>
      <c r="D113" s="7" t="s">
        <v>262</v>
      </c>
      <c r="E113" s="9">
        <v>444</v>
      </c>
      <c r="F113" s="9">
        <v>0</v>
      </c>
      <c r="G113" s="9">
        <v>0</v>
      </c>
      <c r="H113" s="11">
        <v>0</v>
      </c>
      <c r="I113" s="7" t="s">
        <v>273</v>
      </c>
    </row>
    <row r="114" spans="1:9" ht="21" customHeight="1">
      <c r="A114" s="7" t="s">
        <v>52</v>
      </c>
      <c r="B114" s="7" t="s">
        <v>275</v>
      </c>
      <c r="C114" s="7" t="s">
        <v>477</v>
      </c>
      <c r="D114" s="7" t="s">
        <v>262</v>
      </c>
      <c r="E114" s="9">
        <v>17</v>
      </c>
      <c r="F114" s="9">
        <v>0</v>
      </c>
      <c r="G114" s="9">
        <v>0</v>
      </c>
      <c r="H114" s="11">
        <v>0</v>
      </c>
      <c r="I114" s="7" t="s">
        <v>275</v>
      </c>
    </row>
    <row r="115" spans="1:9" ht="21" customHeight="1">
      <c r="A115" s="7" t="s">
        <v>52</v>
      </c>
      <c r="B115" s="7" t="s">
        <v>277</v>
      </c>
      <c r="C115" s="7" t="s">
        <v>478</v>
      </c>
      <c r="D115" s="7" t="s">
        <v>262</v>
      </c>
      <c r="E115" s="9">
        <v>94</v>
      </c>
      <c r="F115" s="9">
        <v>0</v>
      </c>
      <c r="G115" s="9">
        <v>0</v>
      </c>
      <c r="H115" s="11">
        <v>0</v>
      </c>
      <c r="I115" s="7" t="s">
        <v>277</v>
      </c>
    </row>
    <row r="116" spans="1:9" ht="21" customHeight="1">
      <c r="A116" s="7" t="s">
        <v>52</v>
      </c>
      <c r="B116" s="7" t="s">
        <v>279</v>
      </c>
      <c r="C116" s="7" t="s">
        <v>479</v>
      </c>
      <c r="D116" s="7" t="s">
        <v>262</v>
      </c>
      <c r="E116" s="9">
        <v>41</v>
      </c>
      <c r="F116" s="9">
        <v>0</v>
      </c>
      <c r="G116" s="9">
        <v>0</v>
      </c>
      <c r="H116" s="11">
        <v>0</v>
      </c>
      <c r="I116" s="7" t="s">
        <v>279</v>
      </c>
    </row>
    <row r="117" spans="1:9" ht="21" customHeight="1">
      <c r="A117" s="7" t="s">
        <v>52</v>
      </c>
      <c r="B117" s="7" t="s">
        <v>280</v>
      </c>
      <c r="C117" s="7" t="s">
        <v>480</v>
      </c>
      <c r="D117" s="7" t="s">
        <v>262</v>
      </c>
      <c r="E117" s="9">
        <v>5</v>
      </c>
      <c r="F117" s="9">
        <v>0</v>
      </c>
      <c r="G117" s="9">
        <v>0</v>
      </c>
      <c r="H117" s="11">
        <v>0</v>
      </c>
      <c r="I117" s="7" t="s">
        <v>280</v>
      </c>
    </row>
    <row r="118" spans="1:9" ht="21" customHeight="1">
      <c r="A118" s="7" t="s">
        <v>52</v>
      </c>
      <c r="B118" s="7" t="s">
        <v>281</v>
      </c>
      <c r="C118" s="7" t="s">
        <v>424</v>
      </c>
      <c r="D118" s="7" t="s">
        <v>262</v>
      </c>
      <c r="E118" s="9">
        <v>2</v>
      </c>
      <c r="F118" s="9">
        <v>0</v>
      </c>
      <c r="G118" s="9">
        <v>0</v>
      </c>
      <c r="H118" s="11">
        <v>0</v>
      </c>
      <c r="I118" s="7" t="s">
        <v>281</v>
      </c>
    </row>
    <row r="119" spans="1:9" ht="21" customHeight="1">
      <c r="A119" s="7" t="s">
        <v>52</v>
      </c>
      <c r="B119" s="7" t="s">
        <v>482</v>
      </c>
      <c r="C119" s="7" t="s">
        <v>483</v>
      </c>
      <c r="D119" s="7" t="s">
        <v>262</v>
      </c>
      <c r="E119" s="9">
        <v>1</v>
      </c>
      <c r="F119" s="9">
        <v>0</v>
      </c>
      <c r="G119" s="9">
        <v>0</v>
      </c>
      <c r="H119" s="11">
        <v>0</v>
      </c>
      <c r="I119" s="7" t="s">
        <v>482</v>
      </c>
    </row>
    <row r="120" spans="1:9" ht="21" customHeight="1">
      <c r="A120" s="7" t="s">
        <v>52</v>
      </c>
      <c r="B120" s="7" t="s">
        <v>283</v>
      </c>
      <c r="C120" s="7" t="s">
        <v>484</v>
      </c>
      <c r="D120" s="7" t="s">
        <v>262</v>
      </c>
      <c r="E120" s="9">
        <v>52</v>
      </c>
      <c r="F120" s="9">
        <v>0</v>
      </c>
      <c r="G120" s="9">
        <v>0</v>
      </c>
      <c r="H120" s="11">
        <v>0</v>
      </c>
      <c r="I120" s="7" t="s">
        <v>283</v>
      </c>
    </row>
    <row r="121" spans="1:9" ht="21" customHeight="1">
      <c r="A121" s="8" t="s">
        <v>52</v>
      </c>
      <c r="B121" s="8" t="s">
        <v>286</v>
      </c>
      <c r="C121" s="8" t="s">
        <v>564</v>
      </c>
      <c r="D121" s="8" t="s">
        <v>262</v>
      </c>
      <c r="E121" s="10">
        <v>15</v>
      </c>
      <c r="F121" s="10">
        <v>0</v>
      </c>
      <c r="G121" s="10">
        <v>0</v>
      </c>
      <c r="H121" s="12">
        <v>0</v>
      </c>
      <c r="I121" s="8" t="s">
        <v>286</v>
      </c>
    </row>
    <row r="123" spans="1:9">
      <c r="A123" s="21" t="s">
        <v>288</v>
      </c>
      <c r="B123" s="22"/>
      <c r="C123" s="22"/>
      <c r="D123" s="22"/>
      <c r="E123" s="13">
        <f>SUM(E6:E121)</f>
        <v>280082</v>
      </c>
      <c r="F123" s="13">
        <f>SUM(F6:F121)</f>
        <v>12107</v>
      </c>
      <c r="G123" s="13">
        <f>SUM(G6:G121)</f>
        <v>313</v>
      </c>
      <c r="H123" s="14">
        <f>SUM(H6:H121)</f>
        <v>611007.18967100012</v>
      </c>
    </row>
  </sheetData>
  <mergeCells count="1">
    <mergeCell ref="A123:D123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563EB"/>
  </sheetPr>
  <dimension ref="A1:N170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F6" sqref="F6"/>
    </sheetView>
  </sheetViews>
  <sheetFormatPr baseColWidth="10" defaultColWidth="8.83203125" defaultRowHeight="14"/>
  <cols>
    <col min="1" max="2" width="28" customWidth="1"/>
    <col min="3" max="3" width="50" customWidth="1"/>
    <col min="4" max="4" width="18" customWidth="1"/>
    <col min="5" max="5" width="29" customWidth="1"/>
    <col min="6" max="6" width="46" customWidth="1"/>
    <col min="7" max="7" width="29" customWidth="1"/>
    <col min="8" max="9" width="18" customWidth="1"/>
    <col min="10" max="12" width="17" customWidth="1"/>
    <col min="13" max="13" width="20" customWidth="1"/>
    <col min="14" max="14" width="48" customWidth="1"/>
  </cols>
  <sheetData>
    <row r="1" spans="1:14" ht="8" customHeight="1"/>
    <row r="2" spans="1:14" ht="19">
      <c r="A2" s="1" t="s">
        <v>565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566</v>
      </c>
    </row>
    <row r="5" spans="1:14" ht="30" customHeight="1">
      <c r="A5" s="4" t="s">
        <v>567</v>
      </c>
      <c r="B5" s="5" t="s">
        <v>55</v>
      </c>
      <c r="C5" s="5" t="s">
        <v>56</v>
      </c>
      <c r="D5" s="5" t="s">
        <v>568</v>
      </c>
      <c r="E5" s="5" t="s">
        <v>35</v>
      </c>
      <c r="F5" s="5" t="s">
        <v>569</v>
      </c>
      <c r="G5" s="5" t="s">
        <v>570</v>
      </c>
      <c r="H5" s="5" t="s">
        <v>571</v>
      </c>
      <c r="I5" s="5" t="s">
        <v>572</v>
      </c>
      <c r="J5" s="5" t="s">
        <v>36</v>
      </c>
      <c r="K5" s="5" t="s">
        <v>37</v>
      </c>
      <c r="L5" s="5" t="s">
        <v>38</v>
      </c>
      <c r="M5" s="5" t="s">
        <v>39</v>
      </c>
      <c r="N5" s="6" t="s">
        <v>573</v>
      </c>
    </row>
    <row r="6" spans="1:14" ht="21" customHeight="1">
      <c r="A6" s="7" t="s">
        <v>70</v>
      </c>
      <c r="B6" s="7" t="s">
        <v>70</v>
      </c>
      <c r="C6" s="7" t="s">
        <v>71</v>
      </c>
      <c r="D6" s="7" t="s">
        <v>574</v>
      </c>
      <c r="E6" s="7" t="s">
        <v>41</v>
      </c>
      <c r="F6" s="7" t="s">
        <v>575</v>
      </c>
      <c r="G6" s="7" t="s">
        <v>61</v>
      </c>
      <c r="H6" s="7" t="s">
        <v>576</v>
      </c>
      <c r="I6" s="7" t="s">
        <v>577</v>
      </c>
      <c r="J6" s="9">
        <v>131346</v>
      </c>
      <c r="K6" s="9">
        <v>6039</v>
      </c>
      <c r="L6" s="9">
        <v>204</v>
      </c>
      <c r="M6" s="11">
        <v>371878.80646799994</v>
      </c>
      <c r="N6" s="7" t="s">
        <v>578</v>
      </c>
    </row>
    <row r="7" spans="1:14" ht="21" customHeight="1">
      <c r="A7" s="7" t="s">
        <v>66</v>
      </c>
      <c r="B7" s="7" t="s">
        <v>66</v>
      </c>
      <c r="C7" s="7" t="s">
        <v>67</v>
      </c>
      <c r="D7" s="7" t="s">
        <v>574</v>
      </c>
      <c r="E7" s="7" t="s">
        <v>41</v>
      </c>
      <c r="F7" s="7" t="s">
        <v>575</v>
      </c>
      <c r="G7" s="7" t="s">
        <v>61</v>
      </c>
      <c r="H7" s="7" t="s">
        <v>576</v>
      </c>
      <c r="I7" s="7" t="s">
        <v>577</v>
      </c>
      <c r="J7" s="9">
        <v>346577</v>
      </c>
      <c r="K7" s="9">
        <v>19344</v>
      </c>
      <c r="L7" s="9">
        <v>583</v>
      </c>
      <c r="M7" s="11">
        <v>1597399.649214</v>
      </c>
      <c r="N7" s="7" t="s">
        <v>578</v>
      </c>
    </row>
    <row r="8" spans="1:14" ht="21" customHeight="1">
      <c r="A8" s="7" t="s">
        <v>62</v>
      </c>
      <c r="B8" s="7" t="s">
        <v>62</v>
      </c>
      <c r="C8" s="7" t="s">
        <v>63</v>
      </c>
      <c r="D8" s="7" t="s">
        <v>574</v>
      </c>
      <c r="E8" s="7" t="s">
        <v>41</v>
      </c>
      <c r="F8" s="7" t="s">
        <v>575</v>
      </c>
      <c r="G8" s="7" t="s">
        <v>61</v>
      </c>
      <c r="H8" s="7" t="s">
        <v>576</v>
      </c>
      <c r="I8" s="7" t="s">
        <v>577</v>
      </c>
      <c r="J8" s="9">
        <v>1195443</v>
      </c>
      <c r="K8" s="9">
        <v>52323</v>
      </c>
      <c r="L8" s="9">
        <v>780</v>
      </c>
      <c r="M8" s="11">
        <v>4047998.7385830004</v>
      </c>
      <c r="N8" s="7" t="s">
        <v>578</v>
      </c>
    </row>
    <row r="9" spans="1:14" ht="21" customHeight="1">
      <c r="A9" s="7" t="s">
        <v>72</v>
      </c>
      <c r="B9" s="7" t="s">
        <v>72</v>
      </c>
      <c r="C9" s="7" t="s">
        <v>73</v>
      </c>
      <c r="D9" s="7" t="s">
        <v>574</v>
      </c>
      <c r="E9" s="7" t="s">
        <v>41</v>
      </c>
      <c r="F9" s="7" t="s">
        <v>575</v>
      </c>
      <c r="G9" s="7" t="s">
        <v>61</v>
      </c>
      <c r="H9" s="7" t="s">
        <v>576</v>
      </c>
      <c r="I9" s="7" t="s">
        <v>577</v>
      </c>
      <c r="J9" s="9">
        <v>93118</v>
      </c>
      <c r="K9" s="9">
        <v>4821</v>
      </c>
      <c r="L9" s="9">
        <v>68</v>
      </c>
      <c r="M9" s="11">
        <v>211635.15236600002</v>
      </c>
      <c r="N9" s="7" t="s">
        <v>578</v>
      </c>
    </row>
    <row r="10" spans="1:14" ht="21" customHeight="1">
      <c r="A10" s="7" t="s">
        <v>68</v>
      </c>
      <c r="B10" s="7" t="s">
        <v>68</v>
      </c>
      <c r="C10" s="7" t="s">
        <v>69</v>
      </c>
      <c r="D10" s="7" t="s">
        <v>574</v>
      </c>
      <c r="E10" s="7" t="s">
        <v>41</v>
      </c>
      <c r="F10" s="7" t="s">
        <v>575</v>
      </c>
      <c r="G10" s="7" t="s">
        <v>61</v>
      </c>
      <c r="H10" s="7" t="s">
        <v>576</v>
      </c>
      <c r="I10" s="7" t="s">
        <v>577</v>
      </c>
      <c r="J10" s="9">
        <v>572198</v>
      </c>
      <c r="K10" s="9">
        <v>30391</v>
      </c>
      <c r="L10" s="9">
        <v>88</v>
      </c>
      <c r="M10" s="11">
        <v>964288.10366999998</v>
      </c>
      <c r="N10" s="7" t="s">
        <v>578</v>
      </c>
    </row>
    <row r="11" spans="1:14" ht="21" customHeight="1">
      <c r="A11" s="7" t="s">
        <v>64</v>
      </c>
      <c r="B11" s="7" t="s">
        <v>64</v>
      </c>
      <c r="C11" s="7" t="s">
        <v>65</v>
      </c>
      <c r="D11" s="7" t="s">
        <v>574</v>
      </c>
      <c r="E11" s="7" t="s">
        <v>41</v>
      </c>
      <c r="F11" s="7" t="s">
        <v>575</v>
      </c>
      <c r="G11" s="7" t="s">
        <v>61</v>
      </c>
      <c r="H11" s="7" t="s">
        <v>576</v>
      </c>
      <c r="I11" s="7" t="s">
        <v>577</v>
      </c>
      <c r="J11" s="9">
        <v>1165191</v>
      </c>
      <c r="K11" s="9">
        <v>54969</v>
      </c>
      <c r="L11" s="9">
        <v>536</v>
      </c>
      <c r="M11" s="11">
        <v>2199165.627814</v>
      </c>
      <c r="N11" s="7" t="s">
        <v>578</v>
      </c>
    </row>
    <row r="12" spans="1:14" ht="21" customHeight="1">
      <c r="A12" s="7" t="s">
        <v>59</v>
      </c>
      <c r="B12" s="7" t="s">
        <v>59</v>
      </c>
      <c r="C12" s="7" t="s">
        <v>60</v>
      </c>
      <c r="D12" s="7" t="s">
        <v>574</v>
      </c>
      <c r="E12" s="7" t="s">
        <v>41</v>
      </c>
      <c r="F12" s="7" t="s">
        <v>575</v>
      </c>
      <c r="G12" s="7" t="s">
        <v>61</v>
      </c>
      <c r="H12" s="7" t="s">
        <v>576</v>
      </c>
      <c r="I12" s="7" t="s">
        <v>577</v>
      </c>
      <c r="J12" s="9">
        <v>2131607</v>
      </c>
      <c r="K12" s="9">
        <v>139540</v>
      </c>
      <c r="L12" s="9">
        <v>3978</v>
      </c>
      <c r="M12" s="11">
        <v>6235508.1724150004</v>
      </c>
      <c r="N12" s="7" t="s">
        <v>578</v>
      </c>
    </row>
    <row r="13" spans="1:14" ht="21" customHeight="1">
      <c r="A13" s="7" t="s">
        <v>96</v>
      </c>
      <c r="B13" s="7" t="s">
        <v>96</v>
      </c>
      <c r="C13" s="7" t="s">
        <v>97</v>
      </c>
      <c r="D13" s="7" t="s">
        <v>574</v>
      </c>
      <c r="E13" s="7" t="s">
        <v>42</v>
      </c>
      <c r="F13" s="7" t="s">
        <v>575</v>
      </c>
      <c r="G13" s="7" t="s">
        <v>61</v>
      </c>
      <c r="H13" s="7" t="s">
        <v>576</v>
      </c>
      <c r="I13" s="7" t="s">
        <v>577</v>
      </c>
      <c r="J13" s="9">
        <v>26217</v>
      </c>
      <c r="K13" s="9">
        <v>1295</v>
      </c>
      <c r="L13" s="9">
        <v>27</v>
      </c>
      <c r="M13" s="11">
        <v>66149.999998999992</v>
      </c>
      <c r="N13" s="7" t="s">
        <v>578</v>
      </c>
    </row>
    <row r="14" spans="1:14" ht="21" customHeight="1">
      <c r="A14" s="7" t="s">
        <v>88</v>
      </c>
      <c r="B14" s="7" t="s">
        <v>88</v>
      </c>
      <c r="C14" s="7" t="s">
        <v>291</v>
      </c>
      <c r="D14" s="7" t="s">
        <v>574</v>
      </c>
      <c r="E14" s="7" t="s">
        <v>42</v>
      </c>
      <c r="F14" s="7" t="s">
        <v>575</v>
      </c>
      <c r="G14" s="7" t="s">
        <v>61</v>
      </c>
      <c r="H14" s="7" t="s">
        <v>576</v>
      </c>
      <c r="I14" s="7" t="s">
        <v>577</v>
      </c>
      <c r="J14" s="9">
        <v>103588</v>
      </c>
      <c r="K14" s="9">
        <v>6535</v>
      </c>
      <c r="L14" s="9">
        <v>408</v>
      </c>
      <c r="M14" s="11">
        <v>-55105.392913000011</v>
      </c>
      <c r="N14" s="7" t="s">
        <v>578</v>
      </c>
    </row>
    <row r="15" spans="1:14" ht="21" customHeight="1">
      <c r="A15" s="7" t="s">
        <v>80</v>
      </c>
      <c r="B15" s="7" t="s">
        <v>80</v>
      </c>
      <c r="C15" s="7" t="s">
        <v>81</v>
      </c>
      <c r="D15" s="7" t="s">
        <v>574</v>
      </c>
      <c r="E15" s="7" t="s">
        <v>42</v>
      </c>
      <c r="F15" s="7" t="s">
        <v>575</v>
      </c>
      <c r="G15" s="7" t="s">
        <v>61</v>
      </c>
      <c r="H15" s="7" t="s">
        <v>576</v>
      </c>
      <c r="I15" s="7" t="s">
        <v>577</v>
      </c>
      <c r="J15" s="9">
        <v>66433</v>
      </c>
      <c r="K15" s="9">
        <v>2949</v>
      </c>
      <c r="L15" s="9">
        <v>146</v>
      </c>
      <c r="M15" s="11">
        <v>166800.71719299999</v>
      </c>
      <c r="N15" s="7" t="s">
        <v>578</v>
      </c>
    </row>
    <row r="16" spans="1:14" ht="21" customHeight="1">
      <c r="A16" s="7" t="s">
        <v>90</v>
      </c>
      <c r="B16" s="7" t="s">
        <v>90</v>
      </c>
      <c r="C16" s="7" t="s">
        <v>91</v>
      </c>
      <c r="D16" s="7" t="s">
        <v>574</v>
      </c>
      <c r="E16" s="7" t="s">
        <v>42</v>
      </c>
      <c r="F16" s="7" t="s">
        <v>575</v>
      </c>
      <c r="G16" s="7" t="s">
        <v>61</v>
      </c>
      <c r="H16" s="7" t="s">
        <v>576</v>
      </c>
      <c r="I16" s="7" t="s">
        <v>577</v>
      </c>
      <c r="J16" s="9">
        <v>92734</v>
      </c>
      <c r="K16" s="9">
        <v>4638</v>
      </c>
      <c r="L16" s="9">
        <v>210</v>
      </c>
      <c r="M16" s="11">
        <v>118694.240014</v>
      </c>
      <c r="N16" s="7" t="s">
        <v>578</v>
      </c>
    </row>
    <row r="17" spans="1:14" ht="21" customHeight="1">
      <c r="A17" s="7" t="s">
        <v>76</v>
      </c>
      <c r="B17" s="7" t="s">
        <v>76</v>
      </c>
      <c r="C17" s="7" t="s">
        <v>295</v>
      </c>
      <c r="D17" s="7" t="s">
        <v>574</v>
      </c>
      <c r="E17" s="7" t="s">
        <v>42</v>
      </c>
      <c r="F17" s="7" t="s">
        <v>575</v>
      </c>
      <c r="G17" s="7" t="s">
        <v>61</v>
      </c>
      <c r="H17" s="7" t="s">
        <v>576</v>
      </c>
      <c r="I17" s="7" t="s">
        <v>577</v>
      </c>
      <c r="J17" s="9">
        <v>182879</v>
      </c>
      <c r="K17" s="9">
        <v>11757</v>
      </c>
      <c r="L17" s="9">
        <v>745</v>
      </c>
      <c r="M17" s="11">
        <v>266356.18819100002</v>
      </c>
      <c r="N17" s="7" t="s">
        <v>578</v>
      </c>
    </row>
    <row r="18" spans="1:14" ht="21" customHeight="1">
      <c r="A18" s="7" t="s">
        <v>86</v>
      </c>
      <c r="B18" s="7" t="s">
        <v>86</v>
      </c>
      <c r="C18" s="7" t="s">
        <v>87</v>
      </c>
      <c r="D18" s="7" t="s">
        <v>574</v>
      </c>
      <c r="E18" s="7" t="s">
        <v>42</v>
      </c>
      <c r="F18" s="7" t="s">
        <v>575</v>
      </c>
      <c r="G18" s="7" t="s">
        <v>61</v>
      </c>
      <c r="H18" s="7" t="s">
        <v>576</v>
      </c>
      <c r="I18" s="7" t="s">
        <v>577</v>
      </c>
      <c r="J18" s="9">
        <v>55309</v>
      </c>
      <c r="K18" s="9">
        <v>3404</v>
      </c>
      <c r="L18" s="9">
        <v>244</v>
      </c>
      <c r="M18" s="11">
        <v>26348.151608</v>
      </c>
      <c r="N18" s="7" t="s">
        <v>578</v>
      </c>
    </row>
    <row r="19" spans="1:14" ht="21" customHeight="1">
      <c r="A19" s="7" t="s">
        <v>82</v>
      </c>
      <c r="B19" s="7" t="s">
        <v>82</v>
      </c>
      <c r="C19" s="7" t="s">
        <v>83</v>
      </c>
      <c r="D19" s="7" t="s">
        <v>574</v>
      </c>
      <c r="E19" s="7" t="s">
        <v>42</v>
      </c>
      <c r="F19" s="7" t="s">
        <v>575</v>
      </c>
      <c r="G19" s="7" t="s">
        <v>61</v>
      </c>
      <c r="H19" s="7" t="s">
        <v>576</v>
      </c>
      <c r="I19" s="7" t="s">
        <v>577</v>
      </c>
      <c r="J19" s="9">
        <v>116897</v>
      </c>
      <c r="K19" s="9">
        <v>9105</v>
      </c>
      <c r="L19" s="9">
        <v>477</v>
      </c>
      <c r="M19" s="11">
        <v>243356.91788999998</v>
      </c>
      <c r="N19" s="7" t="s">
        <v>578</v>
      </c>
    </row>
    <row r="20" spans="1:14" ht="21" customHeight="1">
      <c r="A20" s="7" t="s">
        <v>100</v>
      </c>
      <c r="B20" s="7" t="s">
        <v>100</v>
      </c>
      <c r="C20" s="7" t="s">
        <v>299</v>
      </c>
      <c r="D20" s="7" t="s">
        <v>574</v>
      </c>
      <c r="E20" s="7" t="s">
        <v>42</v>
      </c>
      <c r="F20" s="7" t="s">
        <v>575</v>
      </c>
      <c r="G20" s="7" t="s">
        <v>61</v>
      </c>
      <c r="H20" s="7" t="s">
        <v>576</v>
      </c>
      <c r="I20" s="7" t="s">
        <v>577</v>
      </c>
      <c r="J20" s="9">
        <v>4918</v>
      </c>
      <c r="K20" s="9">
        <v>160</v>
      </c>
      <c r="L20" s="9">
        <v>4</v>
      </c>
      <c r="M20" s="11">
        <v>5970.9999989999997</v>
      </c>
      <c r="N20" s="7" t="s">
        <v>578</v>
      </c>
    </row>
    <row r="21" spans="1:14" ht="21" customHeight="1">
      <c r="A21" s="7" t="s">
        <v>84</v>
      </c>
      <c r="B21" s="7" t="s">
        <v>84</v>
      </c>
      <c r="C21" s="7" t="s">
        <v>85</v>
      </c>
      <c r="D21" s="7" t="s">
        <v>574</v>
      </c>
      <c r="E21" s="7" t="s">
        <v>42</v>
      </c>
      <c r="F21" s="7" t="s">
        <v>575</v>
      </c>
      <c r="G21" s="7" t="s">
        <v>61</v>
      </c>
      <c r="H21" s="7" t="s">
        <v>576</v>
      </c>
      <c r="I21" s="7" t="s">
        <v>577</v>
      </c>
      <c r="J21" s="9">
        <v>26522</v>
      </c>
      <c r="K21" s="9">
        <v>1008</v>
      </c>
      <c r="L21" s="9">
        <v>13</v>
      </c>
      <c r="M21" s="11">
        <v>94587.129993999988</v>
      </c>
      <c r="N21" s="7" t="s">
        <v>578</v>
      </c>
    </row>
    <row r="22" spans="1:14" ht="21" customHeight="1">
      <c r="A22" s="7" t="s">
        <v>102</v>
      </c>
      <c r="B22" s="7" t="s">
        <v>102</v>
      </c>
      <c r="C22" s="7" t="s">
        <v>298</v>
      </c>
      <c r="D22" s="7" t="s">
        <v>574</v>
      </c>
      <c r="E22" s="7" t="s">
        <v>42</v>
      </c>
      <c r="F22" s="7" t="s">
        <v>575</v>
      </c>
      <c r="G22" s="7" t="s">
        <v>61</v>
      </c>
      <c r="H22" s="7" t="s">
        <v>576</v>
      </c>
      <c r="I22" s="7" t="s">
        <v>577</v>
      </c>
      <c r="J22" s="9">
        <v>888</v>
      </c>
      <c r="K22" s="9">
        <v>13</v>
      </c>
      <c r="L22" s="9">
        <v>2</v>
      </c>
      <c r="M22" s="11">
        <v>-4854.4999950000001</v>
      </c>
      <c r="N22" s="7" t="s">
        <v>578</v>
      </c>
    </row>
    <row r="23" spans="1:14" ht="21" customHeight="1">
      <c r="A23" s="7" t="s">
        <v>104</v>
      </c>
      <c r="B23" s="7" t="s">
        <v>104</v>
      </c>
      <c r="C23" s="7" t="s">
        <v>300</v>
      </c>
      <c r="D23" s="7" t="s">
        <v>574</v>
      </c>
      <c r="E23" s="7" t="s">
        <v>42</v>
      </c>
      <c r="F23" s="7" t="s">
        <v>575</v>
      </c>
      <c r="G23" s="7" t="s">
        <v>61</v>
      </c>
      <c r="H23" s="7" t="s">
        <v>576</v>
      </c>
      <c r="I23" s="7" t="s">
        <v>577</v>
      </c>
      <c r="J23" s="9">
        <v>1671</v>
      </c>
      <c r="K23" s="9">
        <v>53</v>
      </c>
      <c r="L23" s="9">
        <v>2</v>
      </c>
      <c r="M23" s="11">
        <v>98.971830999999725</v>
      </c>
      <c r="N23" s="7" t="s">
        <v>578</v>
      </c>
    </row>
    <row r="24" spans="1:14" ht="21" customHeight="1">
      <c r="A24" s="7" t="s">
        <v>106</v>
      </c>
      <c r="B24" s="7" t="s">
        <v>106</v>
      </c>
      <c r="C24" s="7" t="s">
        <v>432</v>
      </c>
      <c r="D24" s="7" t="s">
        <v>574</v>
      </c>
      <c r="E24" s="7" t="s">
        <v>42</v>
      </c>
      <c r="F24" s="7" t="s">
        <v>575</v>
      </c>
      <c r="G24" s="7" t="s">
        <v>61</v>
      </c>
      <c r="H24" s="7" t="s">
        <v>576</v>
      </c>
      <c r="I24" s="7" t="s">
        <v>577</v>
      </c>
      <c r="J24" s="9">
        <v>176</v>
      </c>
      <c r="K24" s="9">
        <v>0</v>
      </c>
      <c r="L24" s="9">
        <v>0</v>
      </c>
      <c r="M24" s="11">
        <v>-9128.4676679999993</v>
      </c>
      <c r="N24" s="7" t="s">
        <v>578</v>
      </c>
    </row>
    <row r="25" spans="1:14" ht="21" customHeight="1">
      <c r="A25" s="7" t="s">
        <v>92</v>
      </c>
      <c r="B25" s="7" t="s">
        <v>92</v>
      </c>
      <c r="C25" s="7" t="s">
        <v>292</v>
      </c>
      <c r="D25" s="7" t="s">
        <v>574</v>
      </c>
      <c r="E25" s="7" t="s">
        <v>42</v>
      </c>
      <c r="F25" s="7" t="s">
        <v>575</v>
      </c>
      <c r="G25" s="7" t="s">
        <v>61</v>
      </c>
      <c r="H25" s="7" t="s">
        <v>576</v>
      </c>
      <c r="I25" s="7" t="s">
        <v>577</v>
      </c>
      <c r="J25" s="9">
        <v>71050</v>
      </c>
      <c r="K25" s="9">
        <v>2869</v>
      </c>
      <c r="L25" s="9">
        <v>138</v>
      </c>
      <c r="M25" s="11">
        <v>32099.867448999998</v>
      </c>
      <c r="N25" s="7" t="s">
        <v>578</v>
      </c>
    </row>
    <row r="26" spans="1:14" ht="21" customHeight="1">
      <c r="A26" s="7" t="s">
        <v>78</v>
      </c>
      <c r="B26" s="7" t="s">
        <v>78</v>
      </c>
      <c r="C26" s="7" t="s">
        <v>79</v>
      </c>
      <c r="D26" s="7" t="s">
        <v>574</v>
      </c>
      <c r="E26" s="7" t="s">
        <v>42</v>
      </c>
      <c r="F26" s="7" t="s">
        <v>575</v>
      </c>
      <c r="G26" s="7" t="s">
        <v>61</v>
      </c>
      <c r="H26" s="7" t="s">
        <v>576</v>
      </c>
      <c r="I26" s="7" t="s">
        <v>577</v>
      </c>
      <c r="J26" s="9">
        <v>154938</v>
      </c>
      <c r="K26" s="9">
        <v>10935</v>
      </c>
      <c r="L26" s="9">
        <v>785</v>
      </c>
      <c r="M26" s="11">
        <v>169057.03767800002</v>
      </c>
      <c r="N26" s="7" t="s">
        <v>578</v>
      </c>
    </row>
    <row r="27" spans="1:14" ht="21" customHeight="1">
      <c r="A27" s="7" t="s">
        <v>98</v>
      </c>
      <c r="B27" s="7" t="s">
        <v>98</v>
      </c>
      <c r="C27" s="7" t="s">
        <v>99</v>
      </c>
      <c r="D27" s="7" t="s">
        <v>574</v>
      </c>
      <c r="E27" s="7" t="s">
        <v>42</v>
      </c>
      <c r="F27" s="7" t="s">
        <v>575</v>
      </c>
      <c r="G27" s="7" t="s">
        <v>61</v>
      </c>
      <c r="H27" s="7" t="s">
        <v>576</v>
      </c>
      <c r="I27" s="7" t="s">
        <v>577</v>
      </c>
      <c r="J27" s="9">
        <v>23257</v>
      </c>
      <c r="K27" s="9">
        <v>1155</v>
      </c>
      <c r="L27" s="9">
        <v>37</v>
      </c>
      <c r="M27" s="11">
        <v>37816.583732999999</v>
      </c>
      <c r="N27" s="7" t="s">
        <v>578</v>
      </c>
    </row>
    <row r="28" spans="1:14" ht="21" customHeight="1">
      <c r="A28" s="7" t="s">
        <v>108</v>
      </c>
      <c r="B28" s="7" t="s">
        <v>108</v>
      </c>
      <c r="C28" s="7" t="s">
        <v>293</v>
      </c>
      <c r="D28" s="7" t="s">
        <v>574</v>
      </c>
      <c r="E28" s="7" t="s">
        <v>42</v>
      </c>
      <c r="F28" s="7" t="s">
        <v>575</v>
      </c>
      <c r="G28" s="7" t="s">
        <v>61</v>
      </c>
      <c r="H28" s="7" t="s">
        <v>576</v>
      </c>
      <c r="I28" s="7" t="s">
        <v>577</v>
      </c>
      <c r="J28" s="9">
        <v>1522</v>
      </c>
      <c r="K28" s="9">
        <v>0</v>
      </c>
      <c r="L28" s="9">
        <v>0</v>
      </c>
      <c r="M28" s="11">
        <v>-34687.074084</v>
      </c>
      <c r="N28" s="7" t="s">
        <v>578</v>
      </c>
    </row>
    <row r="29" spans="1:14" ht="21" customHeight="1">
      <c r="A29" s="7" t="s">
        <v>110</v>
      </c>
      <c r="B29" s="7" t="s">
        <v>110</v>
      </c>
      <c r="C29" s="7" t="s">
        <v>433</v>
      </c>
      <c r="D29" s="7" t="s">
        <v>574</v>
      </c>
      <c r="E29" s="7" t="s">
        <v>42</v>
      </c>
      <c r="F29" s="7" t="s">
        <v>575</v>
      </c>
      <c r="G29" s="7" t="s">
        <v>61</v>
      </c>
      <c r="H29" s="7" t="s">
        <v>576</v>
      </c>
      <c r="I29" s="7" t="s">
        <v>577</v>
      </c>
      <c r="J29" s="9">
        <v>180</v>
      </c>
      <c r="K29" s="9">
        <v>0</v>
      </c>
      <c r="L29" s="9">
        <v>0</v>
      </c>
      <c r="M29" s="11">
        <v>-1431.500004</v>
      </c>
      <c r="N29" s="7" t="s">
        <v>578</v>
      </c>
    </row>
    <row r="30" spans="1:14" ht="21" customHeight="1">
      <c r="A30" s="7" t="s">
        <v>112</v>
      </c>
      <c r="B30" s="7" t="s">
        <v>112</v>
      </c>
      <c r="C30" s="7" t="s">
        <v>294</v>
      </c>
      <c r="D30" s="7" t="s">
        <v>574</v>
      </c>
      <c r="E30" s="7" t="s">
        <v>42</v>
      </c>
      <c r="F30" s="7" t="s">
        <v>575</v>
      </c>
      <c r="G30" s="7" t="s">
        <v>61</v>
      </c>
      <c r="H30" s="7" t="s">
        <v>576</v>
      </c>
      <c r="I30" s="7" t="s">
        <v>577</v>
      </c>
      <c r="J30" s="9">
        <v>3119</v>
      </c>
      <c r="K30" s="9">
        <v>58</v>
      </c>
      <c r="L30" s="9">
        <v>0</v>
      </c>
      <c r="M30" s="11">
        <v>-13304.201955</v>
      </c>
      <c r="N30" s="7" t="s">
        <v>578</v>
      </c>
    </row>
    <row r="31" spans="1:14" ht="21" customHeight="1">
      <c r="A31" s="7" t="s">
        <v>74</v>
      </c>
      <c r="B31" s="7" t="s">
        <v>74</v>
      </c>
      <c r="C31" s="7" t="s">
        <v>579</v>
      </c>
      <c r="D31" s="7" t="s">
        <v>574</v>
      </c>
      <c r="E31" s="7" t="s">
        <v>42</v>
      </c>
      <c r="F31" s="7" t="s">
        <v>575</v>
      </c>
      <c r="G31" s="7" t="s">
        <v>61</v>
      </c>
      <c r="H31" s="7" t="s">
        <v>576</v>
      </c>
      <c r="I31" s="7" t="s">
        <v>577</v>
      </c>
      <c r="J31" s="9">
        <v>156254</v>
      </c>
      <c r="K31" s="9">
        <v>7356</v>
      </c>
      <c r="L31" s="9">
        <v>437</v>
      </c>
      <c r="M31" s="11">
        <v>170352.345627</v>
      </c>
      <c r="N31" s="7" t="s">
        <v>578</v>
      </c>
    </row>
    <row r="32" spans="1:14" ht="21" customHeight="1">
      <c r="A32" s="7" t="s">
        <v>94</v>
      </c>
      <c r="B32" s="7" t="s">
        <v>94</v>
      </c>
      <c r="C32" s="7" t="s">
        <v>95</v>
      </c>
      <c r="D32" s="7" t="s">
        <v>574</v>
      </c>
      <c r="E32" s="7" t="s">
        <v>42</v>
      </c>
      <c r="F32" s="7" t="s">
        <v>575</v>
      </c>
      <c r="G32" s="7" t="s">
        <v>61</v>
      </c>
      <c r="H32" s="7" t="s">
        <v>576</v>
      </c>
      <c r="I32" s="7" t="s">
        <v>577</v>
      </c>
      <c r="J32" s="9">
        <v>26047</v>
      </c>
      <c r="K32" s="9">
        <v>969</v>
      </c>
      <c r="L32" s="9">
        <v>10</v>
      </c>
      <c r="M32" s="11">
        <v>25918.500012000004</v>
      </c>
      <c r="N32" s="7" t="s">
        <v>578</v>
      </c>
    </row>
    <row r="33" spans="1:14" ht="21" customHeight="1">
      <c r="A33" s="7" t="s">
        <v>114</v>
      </c>
      <c r="B33" s="7" t="s">
        <v>114</v>
      </c>
      <c r="C33" s="7" t="s">
        <v>302</v>
      </c>
      <c r="D33" s="7" t="s">
        <v>574</v>
      </c>
      <c r="E33" s="7" t="s">
        <v>42</v>
      </c>
      <c r="F33" s="7" t="s">
        <v>575</v>
      </c>
      <c r="G33" s="7" t="s">
        <v>61</v>
      </c>
      <c r="H33" s="7" t="s">
        <v>576</v>
      </c>
      <c r="I33" s="7" t="s">
        <v>577</v>
      </c>
      <c r="J33" s="9">
        <v>222</v>
      </c>
      <c r="K33" s="9">
        <v>0</v>
      </c>
      <c r="L33" s="9">
        <v>0</v>
      </c>
      <c r="M33" s="11">
        <v>-387.499999</v>
      </c>
      <c r="N33" s="7" t="s">
        <v>578</v>
      </c>
    </row>
    <row r="34" spans="1:14" ht="21" customHeight="1">
      <c r="A34" s="7" t="s">
        <v>116</v>
      </c>
      <c r="B34" s="7" t="s">
        <v>116</v>
      </c>
      <c r="C34" s="7" t="s">
        <v>434</v>
      </c>
      <c r="D34" s="7" t="s">
        <v>574</v>
      </c>
      <c r="E34" s="7" t="s">
        <v>42</v>
      </c>
      <c r="F34" s="7" t="s">
        <v>575</v>
      </c>
      <c r="G34" s="7" t="s">
        <v>61</v>
      </c>
      <c r="H34" s="7" t="s">
        <v>576</v>
      </c>
      <c r="I34" s="7" t="s">
        <v>577</v>
      </c>
      <c r="J34" s="9">
        <v>1251</v>
      </c>
      <c r="K34" s="9">
        <v>0</v>
      </c>
      <c r="L34" s="9">
        <v>0</v>
      </c>
      <c r="M34" s="11">
        <v>0</v>
      </c>
      <c r="N34" s="7" t="s">
        <v>578</v>
      </c>
    </row>
    <row r="35" spans="1:14" ht="21" customHeight="1">
      <c r="A35" s="7" t="s">
        <v>117</v>
      </c>
      <c r="B35" s="7" t="s">
        <v>117</v>
      </c>
      <c r="C35" s="7" t="s">
        <v>118</v>
      </c>
      <c r="D35" s="7" t="s">
        <v>574</v>
      </c>
      <c r="E35" s="7" t="s">
        <v>43</v>
      </c>
      <c r="F35" s="7" t="s">
        <v>575</v>
      </c>
      <c r="G35" s="7" t="s">
        <v>61</v>
      </c>
      <c r="H35" s="7" t="s">
        <v>576</v>
      </c>
      <c r="I35" s="7" t="s">
        <v>577</v>
      </c>
      <c r="J35" s="9">
        <v>116904</v>
      </c>
      <c r="K35" s="9">
        <v>4720</v>
      </c>
      <c r="L35" s="9">
        <v>168</v>
      </c>
      <c r="M35" s="11">
        <v>103786.871793</v>
      </c>
      <c r="N35" s="7" t="s">
        <v>578</v>
      </c>
    </row>
    <row r="36" spans="1:14" ht="21" customHeight="1">
      <c r="A36" s="7" t="s">
        <v>121</v>
      </c>
      <c r="B36" s="7" t="s">
        <v>121</v>
      </c>
      <c r="C36" s="7" t="s">
        <v>122</v>
      </c>
      <c r="D36" s="7" t="s">
        <v>574</v>
      </c>
      <c r="E36" s="7" t="s">
        <v>43</v>
      </c>
      <c r="F36" s="7" t="s">
        <v>575</v>
      </c>
      <c r="G36" s="7" t="s">
        <v>61</v>
      </c>
      <c r="H36" s="7" t="s">
        <v>576</v>
      </c>
      <c r="I36" s="7" t="s">
        <v>577</v>
      </c>
      <c r="J36" s="9">
        <v>101630</v>
      </c>
      <c r="K36" s="9">
        <v>4981</v>
      </c>
      <c r="L36" s="9">
        <v>278</v>
      </c>
      <c r="M36" s="11">
        <v>71161.528277999998</v>
      </c>
      <c r="N36" s="7" t="s">
        <v>578</v>
      </c>
    </row>
    <row r="37" spans="1:14" ht="21" customHeight="1">
      <c r="A37" s="7" t="s">
        <v>119</v>
      </c>
      <c r="B37" s="7" t="s">
        <v>119</v>
      </c>
      <c r="C37" s="7" t="s">
        <v>304</v>
      </c>
      <c r="D37" s="7" t="s">
        <v>574</v>
      </c>
      <c r="E37" s="7" t="s">
        <v>43</v>
      </c>
      <c r="F37" s="7" t="s">
        <v>575</v>
      </c>
      <c r="G37" s="7" t="s">
        <v>61</v>
      </c>
      <c r="H37" s="7" t="s">
        <v>576</v>
      </c>
      <c r="I37" s="7" t="s">
        <v>577</v>
      </c>
      <c r="J37" s="9">
        <v>44344</v>
      </c>
      <c r="K37" s="9">
        <v>1723</v>
      </c>
      <c r="L37" s="9">
        <v>52</v>
      </c>
      <c r="M37" s="11">
        <v>33655.419197000003</v>
      </c>
      <c r="N37" s="7" t="s">
        <v>578</v>
      </c>
    </row>
    <row r="38" spans="1:14" ht="21" customHeight="1">
      <c r="A38" s="7" t="s">
        <v>436</v>
      </c>
      <c r="B38" s="7" t="s">
        <v>436</v>
      </c>
      <c r="C38" s="7" t="s">
        <v>437</v>
      </c>
      <c r="D38" s="7" t="s">
        <v>574</v>
      </c>
      <c r="E38" s="7" t="s">
        <v>43</v>
      </c>
      <c r="F38" s="7" t="s">
        <v>575</v>
      </c>
      <c r="G38" s="7" t="s">
        <v>61</v>
      </c>
      <c r="H38" s="7" t="s">
        <v>576</v>
      </c>
      <c r="I38" s="7" t="s">
        <v>577</v>
      </c>
      <c r="J38" s="9">
        <v>21843</v>
      </c>
      <c r="K38" s="9">
        <v>1438</v>
      </c>
      <c r="L38" s="9">
        <v>55</v>
      </c>
      <c r="M38" s="11">
        <v>19919.488002000002</v>
      </c>
      <c r="N38" s="7" t="s">
        <v>578</v>
      </c>
    </row>
    <row r="39" spans="1:14" ht="21" customHeight="1">
      <c r="A39" s="7" t="s">
        <v>125</v>
      </c>
      <c r="B39" s="7" t="s">
        <v>125</v>
      </c>
      <c r="C39" s="7" t="s">
        <v>126</v>
      </c>
      <c r="D39" s="7" t="s">
        <v>574</v>
      </c>
      <c r="E39" s="7" t="s">
        <v>44</v>
      </c>
      <c r="F39" s="7" t="s">
        <v>575</v>
      </c>
      <c r="G39" s="7" t="s">
        <v>61</v>
      </c>
      <c r="H39" s="7" t="s">
        <v>576</v>
      </c>
      <c r="I39" s="7" t="s">
        <v>577</v>
      </c>
      <c r="J39" s="9">
        <v>37070</v>
      </c>
      <c r="K39" s="9">
        <v>2076</v>
      </c>
      <c r="L39" s="9">
        <v>38</v>
      </c>
      <c r="M39" s="11">
        <v>124450.06755099999</v>
      </c>
      <c r="N39" s="7" t="s">
        <v>578</v>
      </c>
    </row>
    <row r="40" spans="1:14" ht="21" customHeight="1">
      <c r="A40" s="7" t="s">
        <v>123</v>
      </c>
      <c r="B40" s="7" t="s">
        <v>123</v>
      </c>
      <c r="C40" s="7" t="s">
        <v>124</v>
      </c>
      <c r="D40" s="7" t="s">
        <v>574</v>
      </c>
      <c r="E40" s="7" t="s">
        <v>44</v>
      </c>
      <c r="F40" s="7" t="s">
        <v>575</v>
      </c>
      <c r="G40" s="7" t="s">
        <v>61</v>
      </c>
      <c r="H40" s="7" t="s">
        <v>576</v>
      </c>
      <c r="I40" s="7" t="s">
        <v>577</v>
      </c>
      <c r="J40" s="9">
        <v>8750</v>
      </c>
      <c r="K40" s="9">
        <v>358</v>
      </c>
      <c r="L40" s="9">
        <v>9</v>
      </c>
      <c r="M40" s="11">
        <v>46405.000003000001</v>
      </c>
      <c r="N40" s="7" t="s">
        <v>578</v>
      </c>
    </row>
    <row r="41" spans="1:14" ht="21" customHeight="1">
      <c r="A41" s="7" t="s">
        <v>133</v>
      </c>
      <c r="B41" s="7" t="s">
        <v>133</v>
      </c>
      <c r="C41" s="7" t="s">
        <v>307</v>
      </c>
      <c r="D41" s="7" t="s">
        <v>574</v>
      </c>
      <c r="E41" s="7" t="s">
        <v>44</v>
      </c>
      <c r="F41" s="7" t="s">
        <v>575</v>
      </c>
      <c r="G41" s="7" t="s">
        <v>61</v>
      </c>
      <c r="H41" s="7" t="s">
        <v>576</v>
      </c>
      <c r="I41" s="7" t="s">
        <v>577</v>
      </c>
      <c r="J41" s="9">
        <v>6613</v>
      </c>
      <c r="K41" s="9">
        <v>164</v>
      </c>
      <c r="L41" s="9">
        <v>2</v>
      </c>
      <c r="M41" s="11">
        <v>6344.9999980000002</v>
      </c>
      <c r="N41" s="7" t="s">
        <v>578</v>
      </c>
    </row>
    <row r="42" spans="1:14" ht="21" customHeight="1">
      <c r="A42" s="7" t="s">
        <v>135</v>
      </c>
      <c r="B42" s="7" t="s">
        <v>135</v>
      </c>
      <c r="C42" s="7" t="s">
        <v>305</v>
      </c>
      <c r="D42" s="7" t="s">
        <v>574</v>
      </c>
      <c r="E42" s="7" t="s">
        <v>44</v>
      </c>
      <c r="F42" s="7" t="s">
        <v>575</v>
      </c>
      <c r="G42" s="7" t="s">
        <v>61</v>
      </c>
      <c r="H42" s="7" t="s">
        <v>576</v>
      </c>
      <c r="I42" s="7" t="s">
        <v>577</v>
      </c>
      <c r="J42" s="9">
        <v>7389</v>
      </c>
      <c r="K42" s="9">
        <v>397</v>
      </c>
      <c r="L42" s="9">
        <v>29</v>
      </c>
      <c r="M42" s="11">
        <v>-31423.078861000005</v>
      </c>
      <c r="N42" s="7" t="s">
        <v>578</v>
      </c>
    </row>
    <row r="43" spans="1:14" ht="21" customHeight="1">
      <c r="A43" s="7" t="s">
        <v>131</v>
      </c>
      <c r="B43" s="7" t="s">
        <v>131</v>
      </c>
      <c r="C43" s="7" t="s">
        <v>306</v>
      </c>
      <c r="D43" s="7" t="s">
        <v>574</v>
      </c>
      <c r="E43" s="7" t="s">
        <v>44</v>
      </c>
      <c r="F43" s="7" t="s">
        <v>575</v>
      </c>
      <c r="G43" s="7" t="s">
        <v>61</v>
      </c>
      <c r="H43" s="7" t="s">
        <v>576</v>
      </c>
      <c r="I43" s="7" t="s">
        <v>577</v>
      </c>
      <c r="J43" s="9">
        <v>20158</v>
      </c>
      <c r="K43" s="9">
        <v>1473</v>
      </c>
      <c r="L43" s="9">
        <v>143</v>
      </c>
      <c r="M43" s="11">
        <v>31927.500004999998</v>
      </c>
      <c r="N43" s="7" t="s">
        <v>578</v>
      </c>
    </row>
    <row r="44" spans="1:14" ht="21" customHeight="1">
      <c r="A44" s="7" t="s">
        <v>129</v>
      </c>
      <c r="B44" s="7" t="s">
        <v>129</v>
      </c>
      <c r="C44" s="7" t="s">
        <v>130</v>
      </c>
      <c r="D44" s="7" t="s">
        <v>574</v>
      </c>
      <c r="E44" s="7" t="s">
        <v>44</v>
      </c>
      <c r="F44" s="7" t="s">
        <v>575</v>
      </c>
      <c r="G44" s="7" t="s">
        <v>61</v>
      </c>
      <c r="H44" s="7" t="s">
        <v>576</v>
      </c>
      <c r="I44" s="7" t="s">
        <v>577</v>
      </c>
      <c r="J44" s="9">
        <v>22891</v>
      </c>
      <c r="K44" s="9">
        <v>621</v>
      </c>
      <c r="L44" s="9">
        <v>15</v>
      </c>
      <c r="M44" s="11">
        <v>25735.699998</v>
      </c>
      <c r="N44" s="7" t="s">
        <v>578</v>
      </c>
    </row>
    <row r="45" spans="1:14" ht="21" customHeight="1">
      <c r="A45" s="7" t="s">
        <v>127</v>
      </c>
      <c r="B45" s="7" t="s">
        <v>127</v>
      </c>
      <c r="C45" s="7" t="s">
        <v>128</v>
      </c>
      <c r="D45" s="7" t="s">
        <v>574</v>
      </c>
      <c r="E45" s="7" t="s">
        <v>44</v>
      </c>
      <c r="F45" s="7" t="s">
        <v>575</v>
      </c>
      <c r="G45" s="7" t="s">
        <v>61</v>
      </c>
      <c r="H45" s="7" t="s">
        <v>576</v>
      </c>
      <c r="I45" s="7" t="s">
        <v>577</v>
      </c>
      <c r="J45" s="9">
        <v>39366</v>
      </c>
      <c r="K45" s="9">
        <v>2040</v>
      </c>
      <c r="L45" s="9">
        <v>35</v>
      </c>
      <c r="M45" s="11">
        <v>58369.086055</v>
      </c>
      <c r="N45" s="7" t="s">
        <v>578</v>
      </c>
    </row>
    <row r="46" spans="1:14" ht="21" customHeight="1">
      <c r="A46" s="7" t="s">
        <v>147</v>
      </c>
      <c r="B46" s="7" t="s">
        <v>147</v>
      </c>
      <c r="C46" s="7" t="s">
        <v>308</v>
      </c>
      <c r="D46" s="7" t="s">
        <v>574</v>
      </c>
      <c r="E46" s="7" t="s">
        <v>45</v>
      </c>
      <c r="F46" s="7" t="s">
        <v>575</v>
      </c>
      <c r="G46" s="7" t="s">
        <v>61</v>
      </c>
      <c r="H46" s="7" t="s">
        <v>576</v>
      </c>
      <c r="I46" s="7" t="s">
        <v>577</v>
      </c>
      <c r="J46" s="9">
        <v>791</v>
      </c>
      <c r="K46" s="9">
        <v>0</v>
      </c>
      <c r="L46" s="9">
        <v>0</v>
      </c>
      <c r="M46" s="11">
        <v>-5835.1371589999999</v>
      </c>
      <c r="N46" s="7" t="s">
        <v>578</v>
      </c>
    </row>
    <row r="47" spans="1:14" ht="21" customHeight="1">
      <c r="A47" s="7" t="s">
        <v>141</v>
      </c>
      <c r="B47" s="7" t="s">
        <v>141</v>
      </c>
      <c r="C47" s="7" t="s">
        <v>142</v>
      </c>
      <c r="D47" s="7" t="s">
        <v>574</v>
      </c>
      <c r="E47" s="7" t="s">
        <v>45</v>
      </c>
      <c r="F47" s="7" t="s">
        <v>575</v>
      </c>
      <c r="G47" s="7" t="s">
        <v>61</v>
      </c>
      <c r="H47" s="7" t="s">
        <v>576</v>
      </c>
      <c r="I47" s="7" t="s">
        <v>577</v>
      </c>
      <c r="J47" s="9">
        <v>9809</v>
      </c>
      <c r="K47" s="9">
        <v>238</v>
      </c>
      <c r="L47" s="9">
        <v>11</v>
      </c>
      <c r="M47" s="11">
        <v>7494.6074249999992</v>
      </c>
      <c r="N47" s="7" t="s">
        <v>578</v>
      </c>
    </row>
    <row r="48" spans="1:14" ht="21" customHeight="1">
      <c r="A48" s="7" t="s">
        <v>152</v>
      </c>
      <c r="B48" s="7" t="s">
        <v>149</v>
      </c>
      <c r="C48" s="7" t="s">
        <v>580</v>
      </c>
      <c r="D48" s="7" t="s">
        <v>581</v>
      </c>
      <c r="E48" s="7" t="s">
        <v>45</v>
      </c>
      <c r="F48" s="7" t="s">
        <v>582</v>
      </c>
      <c r="G48" s="7" t="s">
        <v>151</v>
      </c>
      <c r="H48" s="7" t="s">
        <v>583</v>
      </c>
      <c r="I48" s="7" t="s">
        <v>584</v>
      </c>
      <c r="J48" s="9">
        <v>109</v>
      </c>
      <c r="K48" s="9">
        <v>0</v>
      </c>
      <c r="L48" s="9">
        <v>0</v>
      </c>
      <c r="M48" s="11">
        <v>0</v>
      </c>
      <c r="N48" s="7" t="s">
        <v>585</v>
      </c>
    </row>
    <row r="49" spans="1:14" ht="21" customHeight="1">
      <c r="A49" s="7" t="s">
        <v>149</v>
      </c>
      <c r="B49" s="7" t="s">
        <v>149</v>
      </c>
      <c r="C49" s="7" t="s">
        <v>580</v>
      </c>
      <c r="D49" s="7" t="s">
        <v>586</v>
      </c>
      <c r="E49" s="7" t="s">
        <v>45</v>
      </c>
      <c r="F49" s="7" t="s">
        <v>582</v>
      </c>
      <c r="G49" s="7" t="s">
        <v>151</v>
      </c>
      <c r="H49" s="7" t="s">
        <v>583</v>
      </c>
      <c r="I49" s="7" t="s">
        <v>584</v>
      </c>
      <c r="J49" s="9">
        <v>3</v>
      </c>
      <c r="K49" s="9">
        <v>0</v>
      </c>
      <c r="L49" s="9">
        <v>0</v>
      </c>
      <c r="M49" s="11">
        <v>0</v>
      </c>
      <c r="N49" s="7" t="s">
        <v>585</v>
      </c>
    </row>
    <row r="50" spans="1:14" ht="21" customHeight="1">
      <c r="A50" s="7" t="s">
        <v>153</v>
      </c>
      <c r="B50" s="7" t="s">
        <v>153</v>
      </c>
      <c r="C50" s="7" t="s">
        <v>312</v>
      </c>
      <c r="D50" s="7" t="s">
        <v>574</v>
      </c>
      <c r="E50" s="7" t="s">
        <v>45</v>
      </c>
      <c r="F50" s="7" t="s">
        <v>575</v>
      </c>
      <c r="G50" s="7" t="s">
        <v>61</v>
      </c>
      <c r="H50" s="7" t="s">
        <v>576</v>
      </c>
      <c r="I50" s="7" t="s">
        <v>577</v>
      </c>
      <c r="J50" s="9">
        <v>1014</v>
      </c>
      <c r="K50" s="9">
        <v>1</v>
      </c>
      <c r="L50" s="9">
        <v>0</v>
      </c>
      <c r="M50" s="11">
        <v>0</v>
      </c>
      <c r="N50" s="7" t="s">
        <v>578</v>
      </c>
    </row>
    <row r="51" spans="1:14" ht="21" customHeight="1">
      <c r="A51" s="7" t="s">
        <v>313</v>
      </c>
      <c r="B51" s="7" t="s">
        <v>313</v>
      </c>
      <c r="C51" s="7" t="s">
        <v>314</v>
      </c>
      <c r="D51" s="7" t="s">
        <v>574</v>
      </c>
      <c r="E51" s="7" t="s">
        <v>45</v>
      </c>
      <c r="F51" s="7" t="s">
        <v>587</v>
      </c>
      <c r="G51" s="7" t="s">
        <v>210</v>
      </c>
      <c r="H51" s="7" t="s">
        <v>583</v>
      </c>
      <c r="I51" s="7" t="s">
        <v>584</v>
      </c>
      <c r="J51" s="9">
        <v>2949</v>
      </c>
      <c r="K51" s="9">
        <v>38</v>
      </c>
      <c r="L51" s="9">
        <v>0</v>
      </c>
      <c r="M51" s="11">
        <v>0</v>
      </c>
      <c r="N51" s="7" t="s">
        <v>588</v>
      </c>
    </row>
    <row r="52" spans="1:14" ht="21" customHeight="1">
      <c r="A52" s="7" t="s">
        <v>137</v>
      </c>
      <c r="B52" s="7" t="s">
        <v>137</v>
      </c>
      <c r="C52" s="7" t="s">
        <v>138</v>
      </c>
      <c r="D52" s="7" t="s">
        <v>574</v>
      </c>
      <c r="E52" s="7" t="s">
        <v>45</v>
      </c>
      <c r="F52" s="7" t="s">
        <v>575</v>
      </c>
      <c r="G52" s="7" t="s">
        <v>61</v>
      </c>
      <c r="H52" s="7" t="s">
        <v>576</v>
      </c>
      <c r="I52" s="7" t="s">
        <v>577</v>
      </c>
      <c r="J52" s="9">
        <v>44444</v>
      </c>
      <c r="K52" s="9">
        <v>1802</v>
      </c>
      <c r="L52" s="9">
        <v>15</v>
      </c>
      <c r="M52" s="11">
        <v>126172.72239000001</v>
      </c>
      <c r="N52" s="7" t="s">
        <v>578</v>
      </c>
    </row>
    <row r="53" spans="1:14" ht="21" customHeight="1">
      <c r="A53" s="7" t="s">
        <v>145</v>
      </c>
      <c r="B53" s="7" t="s">
        <v>145</v>
      </c>
      <c r="C53" s="7" t="s">
        <v>146</v>
      </c>
      <c r="D53" s="7" t="s">
        <v>574</v>
      </c>
      <c r="E53" s="7" t="s">
        <v>45</v>
      </c>
      <c r="F53" s="7" t="s">
        <v>575</v>
      </c>
      <c r="G53" s="7" t="s">
        <v>61</v>
      </c>
      <c r="H53" s="7" t="s">
        <v>576</v>
      </c>
      <c r="I53" s="7" t="s">
        <v>577</v>
      </c>
      <c r="J53" s="9">
        <v>3185</v>
      </c>
      <c r="K53" s="9">
        <v>184</v>
      </c>
      <c r="L53" s="9">
        <v>17</v>
      </c>
      <c r="M53" s="11">
        <v>-3795.5000009999999</v>
      </c>
      <c r="N53" s="7" t="s">
        <v>578</v>
      </c>
    </row>
    <row r="54" spans="1:14" ht="21" customHeight="1">
      <c r="A54" s="7" t="s">
        <v>155</v>
      </c>
      <c r="B54" s="7" t="s">
        <v>155</v>
      </c>
      <c r="C54" s="7" t="s">
        <v>315</v>
      </c>
      <c r="D54" s="7" t="s">
        <v>574</v>
      </c>
      <c r="E54" s="7" t="s">
        <v>45</v>
      </c>
      <c r="F54" s="7" t="s">
        <v>575</v>
      </c>
      <c r="G54" s="7" t="s">
        <v>61</v>
      </c>
      <c r="H54" s="7" t="s">
        <v>576</v>
      </c>
      <c r="I54" s="7" t="s">
        <v>577</v>
      </c>
      <c r="J54" s="9">
        <v>6320</v>
      </c>
      <c r="K54" s="9">
        <v>73</v>
      </c>
      <c r="L54" s="9">
        <v>0</v>
      </c>
      <c r="M54" s="11">
        <v>0</v>
      </c>
      <c r="N54" s="7" t="s">
        <v>578</v>
      </c>
    </row>
    <row r="55" spans="1:14" ht="21" customHeight="1">
      <c r="A55" s="7" t="s">
        <v>157</v>
      </c>
      <c r="B55" s="7" t="s">
        <v>157</v>
      </c>
      <c r="C55" s="7" t="s">
        <v>311</v>
      </c>
      <c r="D55" s="7" t="s">
        <v>574</v>
      </c>
      <c r="E55" s="7" t="s">
        <v>45</v>
      </c>
      <c r="F55" s="7" t="s">
        <v>575</v>
      </c>
      <c r="G55" s="7" t="s">
        <v>61</v>
      </c>
      <c r="H55" s="7" t="s">
        <v>576</v>
      </c>
      <c r="I55" s="7" t="s">
        <v>577</v>
      </c>
      <c r="J55" s="9">
        <v>550</v>
      </c>
      <c r="K55" s="9">
        <v>0</v>
      </c>
      <c r="L55" s="9">
        <v>0</v>
      </c>
      <c r="M55" s="11">
        <v>-696.500001</v>
      </c>
      <c r="N55" s="7" t="s">
        <v>578</v>
      </c>
    </row>
    <row r="56" spans="1:14" ht="21" customHeight="1">
      <c r="A56" s="7" t="s">
        <v>441</v>
      </c>
      <c r="B56" s="7" t="s">
        <v>441</v>
      </c>
      <c r="C56" s="7" t="s">
        <v>442</v>
      </c>
      <c r="D56" s="7" t="s">
        <v>574</v>
      </c>
      <c r="E56" s="7" t="s">
        <v>45</v>
      </c>
      <c r="F56" s="7" t="s">
        <v>575</v>
      </c>
      <c r="G56" s="7" t="s">
        <v>61</v>
      </c>
      <c r="H56" s="7" t="s">
        <v>576</v>
      </c>
      <c r="I56" s="7" t="s">
        <v>577</v>
      </c>
      <c r="J56" s="9">
        <v>7516</v>
      </c>
      <c r="K56" s="9">
        <v>265</v>
      </c>
      <c r="L56" s="9">
        <v>1</v>
      </c>
      <c r="M56" s="11">
        <v>3399.9999990000001</v>
      </c>
      <c r="N56" s="7" t="s">
        <v>578</v>
      </c>
    </row>
    <row r="57" spans="1:14" ht="21" customHeight="1">
      <c r="A57" s="7" t="s">
        <v>159</v>
      </c>
      <c r="B57" s="7" t="s">
        <v>159</v>
      </c>
      <c r="C57" s="7" t="s">
        <v>316</v>
      </c>
      <c r="D57" s="7" t="s">
        <v>574</v>
      </c>
      <c r="E57" s="7" t="s">
        <v>45</v>
      </c>
      <c r="F57" s="7" t="s">
        <v>575</v>
      </c>
      <c r="G57" s="7" t="s">
        <v>61</v>
      </c>
      <c r="H57" s="7" t="s">
        <v>576</v>
      </c>
      <c r="I57" s="7" t="s">
        <v>577</v>
      </c>
      <c r="J57" s="9">
        <v>1076</v>
      </c>
      <c r="K57" s="9">
        <v>12</v>
      </c>
      <c r="L57" s="9">
        <v>1</v>
      </c>
      <c r="M57" s="11">
        <v>3214.6685189999998</v>
      </c>
      <c r="N57" s="7" t="s">
        <v>578</v>
      </c>
    </row>
    <row r="58" spans="1:14" ht="21" customHeight="1">
      <c r="A58" s="7" t="s">
        <v>160</v>
      </c>
      <c r="B58" s="7" t="s">
        <v>160</v>
      </c>
      <c r="C58" s="7" t="s">
        <v>310</v>
      </c>
      <c r="D58" s="7" t="s">
        <v>574</v>
      </c>
      <c r="E58" s="7" t="s">
        <v>45</v>
      </c>
      <c r="F58" s="7" t="s">
        <v>575</v>
      </c>
      <c r="G58" s="7" t="s">
        <v>61</v>
      </c>
      <c r="H58" s="7" t="s">
        <v>576</v>
      </c>
      <c r="I58" s="7" t="s">
        <v>577</v>
      </c>
      <c r="J58" s="9">
        <v>1150</v>
      </c>
      <c r="K58" s="9">
        <v>1</v>
      </c>
      <c r="L58" s="9">
        <v>0</v>
      </c>
      <c r="M58" s="11">
        <v>-3680.1500780000001</v>
      </c>
      <c r="N58" s="7" t="s">
        <v>578</v>
      </c>
    </row>
    <row r="59" spans="1:14" ht="21" customHeight="1">
      <c r="A59" s="7" t="s">
        <v>162</v>
      </c>
      <c r="B59" s="7" t="s">
        <v>162</v>
      </c>
      <c r="C59" s="7" t="s">
        <v>309</v>
      </c>
      <c r="D59" s="7" t="s">
        <v>574</v>
      </c>
      <c r="E59" s="7" t="s">
        <v>45</v>
      </c>
      <c r="F59" s="7" t="s">
        <v>575</v>
      </c>
      <c r="G59" s="7" t="s">
        <v>61</v>
      </c>
      <c r="H59" s="7" t="s">
        <v>576</v>
      </c>
      <c r="I59" s="7" t="s">
        <v>577</v>
      </c>
      <c r="J59" s="9">
        <v>1038</v>
      </c>
      <c r="K59" s="9">
        <v>5</v>
      </c>
      <c r="L59" s="9">
        <v>1</v>
      </c>
      <c r="M59" s="11">
        <v>-4753.800268</v>
      </c>
      <c r="N59" s="7" t="s">
        <v>578</v>
      </c>
    </row>
    <row r="60" spans="1:14" ht="21" customHeight="1">
      <c r="A60" s="7" t="s">
        <v>164</v>
      </c>
      <c r="B60" s="7" t="s">
        <v>164</v>
      </c>
      <c r="C60" s="7" t="s">
        <v>317</v>
      </c>
      <c r="D60" s="7" t="s">
        <v>574</v>
      </c>
      <c r="E60" s="7" t="s">
        <v>45</v>
      </c>
      <c r="F60" s="7" t="s">
        <v>575</v>
      </c>
      <c r="G60" s="7" t="s">
        <v>61</v>
      </c>
      <c r="H60" s="7" t="s">
        <v>576</v>
      </c>
      <c r="I60" s="7" t="s">
        <v>577</v>
      </c>
      <c r="J60" s="9">
        <v>2751</v>
      </c>
      <c r="K60" s="9">
        <v>90</v>
      </c>
      <c r="L60" s="9">
        <v>1</v>
      </c>
      <c r="M60" s="11">
        <v>1474.9999989999999</v>
      </c>
      <c r="N60" s="7" t="s">
        <v>578</v>
      </c>
    </row>
    <row r="61" spans="1:14" ht="21" customHeight="1">
      <c r="A61" s="7" t="s">
        <v>166</v>
      </c>
      <c r="B61" s="7" t="s">
        <v>166</v>
      </c>
      <c r="C61" s="7" t="s">
        <v>318</v>
      </c>
      <c r="D61" s="7" t="s">
        <v>574</v>
      </c>
      <c r="E61" s="7" t="s">
        <v>45</v>
      </c>
      <c r="F61" s="7" t="s">
        <v>575</v>
      </c>
      <c r="G61" s="7" t="s">
        <v>61</v>
      </c>
      <c r="H61" s="7" t="s">
        <v>576</v>
      </c>
      <c r="I61" s="7" t="s">
        <v>577</v>
      </c>
      <c r="J61" s="9">
        <v>1583</v>
      </c>
      <c r="K61" s="9">
        <v>28</v>
      </c>
      <c r="L61" s="9">
        <v>0</v>
      </c>
      <c r="M61" s="11">
        <v>0</v>
      </c>
      <c r="N61" s="7" t="s">
        <v>578</v>
      </c>
    </row>
    <row r="62" spans="1:14" ht="21" customHeight="1">
      <c r="A62" s="7" t="s">
        <v>143</v>
      </c>
      <c r="B62" s="7" t="s">
        <v>143</v>
      </c>
      <c r="C62" s="7" t="s">
        <v>144</v>
      </c>
      <c r="D62" s="7" t="s">
        <v>574</v>
      </c>
      <c r="E62" s="7" t="s">
        <v>45</v>
      </c>
      <c r="F62" s="7" t="s">
        <v>575</v>
      </c>
      <c r="G62" s="7" t="s">
        <v>61</v>
      </c>
      <c r="H62" s="7" t="s">
        <v>576</v>
      </c>
      <c r="I62" s="7" t="s">
        <v>577</v>
      </c>
      <c r="J62" s="9">
        <v>20994</v>
      </c>
      <c r="K62" s="9">
        <v>673</v>
      </c>
      <c r="L62" s="9">
        <v>52</v>
      </c>
      <c r="M62" s="11">
        <v>-3757.2062649999989</v>
      </c>
      <c r="N62" s="7" t="s">
        <v>578</v>
      </c>
    </row>
    <row r="63" spans="1:14" ht="21" customHeight="1">
      <c r="A63" s="7" t="s">
        <v>139</v>
      </c>
      <c r="B63" s="7" t="s">
        <v>139</v>
      </c>
      <c r="C63" s="7" t="s">
        <v>140</v>
      </c>
      <c r="D63" s="7" t="s">
        <v>574</v>
      </c>
      <c r="E63" s="7" t="s">
        <v>45</v>
      </c>
      <c r="F63" s="7" t="s">
        <v>575</v>
      </c>
      <c r="G63" s="7" t="s">
        <v>61</v>
      </c>
      <c r="H63" s="7" t="s">
        <v>576</v>
      </c>
      <c r="I63" s="7" t="s">
        <v>577</v>
      </c>
      <c r="J63" s="9">
        <v>180302</v>
      </c>
      <c r="K63" s="9">
        <v>11139</v>
      </c>
      <c r="L63" s="9">
        <v>680</v>
      </c>
      <c r="M63" s="11">
        <v>164161.40002200002</v>
      </c>
      <c r="N63" s="7" t="s">
        <v>578</v>
      </c>
    </row>
    <row r="64" spans="1:14" ht="21" customHeight="1">
      <c r="A64" s="7" t="s">
        <v>168</v>
      </c>
      <c r="B64" s="7" t="s">
        <v>168</v>
      </c>
      <c r="C64" s="7" t="s">
        <v>589</v>
      </c>
      <c r="D64" s="7" t="s">
        <v>586</v>
      </c>
      <c r="E64" s="7" t="s">
        <v>45</v>
      </c>
      <c r="F64" s="7" t="s">
        <v>575</v>
      </c>
      <c r="G64" s="7" t="s">
        <v>61</v>
      </c>
      <c r="H64" s="7" t="s">
        <v>576</v>
      </c>
      <c r="I64" s="7" t="s">
        <v>577</v>
      </c>
      <c r="J64" s="9">
        <v>56</v>
      </c>
      <c r="K64" s="9">
        <v>0</v>
      </c>
      <c r="L64" s="9">
        <v>0</v>
      </c>
      <c r="M64" s="11">
        <v>0</v>
      </c>
      <c r="N64" s="7" t="s">
        <v>578</v>
      </c>
    </row>
    <row r="65" spans="1:14" ht="21" customHeight="1">
      <c r="A65" s="7" t="s">
        <v>170</v>
      </c>
      <c r="B65" s="7" t="s">
        <v>168</v>
      </c>
      <c r="C65" s="7" t="s">
        <v>589</v>
      </c>
      <c r="D65" s="7" t="s">
        <v>581</v>
      </c>
      <c r="E65" s="7" t="s">
        <v>45</v>
      </c>
      <c r="F65" s="7" t="s">
        <v>590</v>
      </c>
      <c r="G65" s="7" t="s">
        <v>151</v>
      </c>
      <c r="H65" s="7" t="s">
        <v>576</v>
      </c>
      <c r="I65" s="7" t="s">
        <v>584</v>
      </c>
      <c r="J65" s="9">
        <v>1188</v>
      </c>
      <c r="K65" s="9">
        <v>38</v>
      </c>
      <c r="L65" s="9">
        <v>0</v>
      </c>
      <c r="M65" s="11">
        <v>0</v>
      </c>
      <c r="N65" s="7" t="s">
        <v>578</v>
      </c>
    </row>
    <row r="66" spans="1:14" ht="21" customHeight="1">
      <c r="A66" s="7" t="s">
        <v>177</v>
      </c>
      <c r="B66" s="7" t="s">
        <v>177</v>
      </c>
      <c r="C66" s="7" t="s">
        <v>178</v>
      </c>
      <c r="D66" s="7" t="s">
        <v>574</v>
      </c>
      <c r="E66" s="7" t="s">
        <v>46</v>
      </c>
      <c r="F66" s="7" t="s">
        <v>575</v>
      </c>
      <c r="G66" s="7" t="s">
        <v>61</v>
      </c>
      <c r="H66" s="7" t="s">
        <v>576</v>
      </c>
      <c r="I66" s="7" t="s">
        <v>577</v>
      </c>
      <c r="J66" s="9">
        <v>3749</v>
      </c>
      <c r="K66" s="9">
        <v>134</v>
      </c>
      <c r="L66" s="9">
        <v>24</v>
      </c>
      <c r="M66" s="11">
        <v>4735.7135410000001</v>
      </c>
      <c r="N66" s="7" t="s">
        <v>578</v>
      </c>
    </row>
    <row r="67" spans="1:14" ht="21" customHeight="1">
      <c r="A67" s="7" t="s">
        <v>175</v>
      </c>
      <c r="B67" s="7" t="s">
        <v>175</v>
      </c>
      <c r="C67" s="7" t="s">
        <v>176</v>
      </c>
      <c r="D67" s="7" t="s">
        <v>574</v>
      </c>
      <c r="E67" s="7" t="s">
        <v>46</v>
      </c>
      <c r="F67" s="7" t="s">
        <v>575</v>
      </c>
      <c r="G67" s="7" t="s">
        <v>61</v>
      </c>
      <c r="H67" s="7" t="s">
        <v>576</v>
      </c>
      <c r="I67" s="7" t="s">
        <v>577</v>
      </c>
      <c r="J67" s="9">
        <v>28289</v>
      </c>
      <c r="K67" s="9">
        <v>485</v>
      </c>
      <c r="L67" s="9">
        <v>44</v>
      </c>
      <c r="M67" s="11">
        <v>22781.513210999998</v>
      </c>
      <c r="N67" s="7" t="s">
        <v>578</v>
      </c>
    </row>
    <row r="68" spans="1:14" ht="21" customHeight="1">
      <c r="A68" s="7" t="s">
        <v>320</v>
      </c>
      <c r="B68" s="7" t="s">
        <v>320</v>
      </c>
      <c r="C68" s="7" t="s">
        <v>321</v>
      </c>
      <c r="D68" s="7" t="s">
        <v>574</v>
      </c>
      <c r="E68" s="7" t="s">
        <v>46</v>
      </c>
      <c r="F68" s="7" t="s">
        <v>575</v>
      </c>
      <c r="G68" s="7" t="s">
        <v>61</v>
      </c>
      <c r="H68" s="7" t="s">
        <v>576</v>
      </c>
      <c r="I68" s="7" t="s">
        <v>577</v>
      </c>
      <c r="J68" s="9">
        <v>3551</v>
      </c>
      <c r="K68" s="9">
        <v>85</v>
      </c>
      <c r="L68" s="9">
        <v>1</v>
      </c>
      <c r="M68" s="11">
        <v>295</v>
      </c>
      <c r="N68" s="7" t="s">
        <v>578</v>
      </c>
    </row>
    <row r="69" spans="1:14" ht="21" customHeight="1">
      <c r="A69" s="7" t="s">
        <v>171</v>
      </c>
      <c r="B69" s="7" t="s">
        <v>171</v>
      </c>
      <c r="C69" s="7" t="s">
        <v>172</v>
      </c>
      <c r="D69" s="7" t="s">
        <v>574</v>
      </c>
      <c r="E69" s="7" t="s">
        <v>46</v>
      </c>
      <c r="F69" s="7" t="s">
        <v>575</v>
      </c>
      <c r="G69" s="7" t="s">
        <v>61</v>
      </c>
      <c r="H69" s="7" t="s">
        <v>576</v>
      </c>
      <c r="I69" s="7" t="s">
        <v>577</v>
      </c>
      <c r="J69" s="9">
        <v>89235</v>
      </c>
      <c r="K69" s="9">
        <v>1833</v>
      </c>
      <c r="L69" s="9">
        <v>138</v>
      </c>
      <c r="M69" s="11">
        <v>102909.325448</v>
      </c>
      <c r="N69" s="7" t="s">
        <v>578</v>
      </c>
    </row>
    <row r="70" spans="1:14" ht="21" customHeight="1">
      <c r="A70" s="7" t="s">
        <v>173</v>
      </c>
      <c r="B70" s="7" t="s">
        <v>173</v>
      </c>
      <c r="C70" s="7" t="s">
        <v>174</v>
      </c>
      <c r="D70" s="7" t="s">
        <v>574</v>
      </c>
      <c r="E70" s="7" t="s">
        <v>46</v>
      </c>
      <c r="F70" s="7" t="s">
        <v>575</v>
      </c>
      <c r="G70" s="7" t="s">
        <v>61</v>
      </c>
      <c r="H70" s="7" t="s">
        <v>576</v>
      </c>
      <c r="I70" s="7" t="s">
        <v>577</v>
      </c>
      <c r="J70" s="9">
        <v>7937</v>
      </c>
      <c r="K70" s="9">
        <v>98</v>
      </c>
      <c r="L70" s="9">
        <v>11</v>
      </c>
      <c r="M70" s="11">
        <v>46700.000003000001</v>
      </c>
      <c r="N70" s="7" t="s">
        <v>578</v>
      </c>
    </row>
    <row r="71" spans="1:14" ht="21" customHeight="1">
      <c r="A71" s="7" t="s">
        <v>182</v>
      </c>
      <c r="B71" s="7" t="s">
        <v>182</v>
      </c>
      <c r="C71" s="7" t="s">
        <v>325</v>
      </c>
      <c r="D71" s="7" t="s">
        <v>574</v>
      </c>
      <c r="E71" s="7" t="s">
        <v>47</v>
      </c>
      <c r="F71" s="7" t="s">
        <v>591</v>
      </c>
      <c r="G71" s="7" t="s">
        <v>181</v>
      </c>
      <c r="H71" s="7" t="s">
        <v>576</v>
      </c>
      <c r="I71" s="7" t="s">
        <v>584</v>
      </c>
      <c r="J71" s="9">
        <v>11090</v>
      </c>
      <c r="K71" s="9">
        <v>296</v>
      </c>
      <c r="L71" s="9">
        <v>8</v>
      </c>
      <c r="M71" s="11">
        <v>4697.4966610000001</v>
      </c>
      <c r="N71" s="7" t="s">
        <v>592</v>
      </c>
    </row>
    <row r="72" spans="1:14" ht="21" customHeight="1">
      <c r="A72" s="7" t="s">
        <v>447</v>
      </c>
      <c r="B72" s="7" t="s">
        <v>447</v>
      </c>
      <c r="C72" s="7" t="s">
        <v>448</v>
      </c>
      <c r="D72" s="7" t="s">
        <v>574</v>
      </c>
      <c r="E72" s="7" t="s">
        <v>47</v>
      </c>
      <c r="F72" s="7" t="s">
        <v>591</v>
      </c>
      <c r="G72" s="7" t="s">
        <v>181</v>
      </c>
      <c r="H72" s="7" t="s">
        <v>576</v>
      </c>
      <c r="I72" s="7" t="s">
        <v>584</v>
      </c>
      <c r="J72" s="9">
        <v>1194</v>
      </c>
      <c r="K72" s="9">
        <v>20</v>
      </c>
      <c r="L72" s="9">
        <v>0</v>
      </c>
      <c r="M72" s="11">
        <v>0</v>
      </c>
      <c r="N72" s="7" t="s">
        <v>592</v>
      </c>
    </row>
    <row r="73" spans="1:14" ht="21" customHeight="1">
      <c r="A73" s="7" t="s">
        <v>179</v>
      </c>
      <c r="B73" s="7" t="s">
        <v>179</v>
      </c>
      <c r="C73" s="7" t="s">
        <v>593</v>
      </c>
      <c r="D73" s="7" t="s">
        <v>574</v>
      </c>
      <c r="E73" s="7" t="s">
        <v>47</v>
      </c>
      <c r="F73" s="7" t="s">
        <v>591</v>
      </c>
      <c r="G73" s="7" t="s">
        <v>181</v>
      </c>
      <c r="H73" s="7" t="s">
        <v>576</v>
      </c>
      <c r="I73" s="7" t="s">
        <v>584</v>
      </c>
      <c r="J73" s="9">
        <v>6475</v>
      </c>
      <c r="K73" s="9">
        <v>390</v>
      </c>
      <c r="L73" s="9">
        <v>14</v>
      </c>
      <c r="M73" s="11">
        <v>3724.4717290000003</v>
      </c>
      <c r="N73" s="7" t="s">
        <v>592</v>
      </c>
    </row>
    <row r="74" spans="1:14" ht="21" customHeight="1">
      <c r="A74" s="7" t="s">
        <v>190</v>
      </c>
      <c r="B74" s="7" t="s">
        <v>190</v>
      </c>
      <c r="C74" s="7" t="s">
        <v>330</v>
      </c>
      <c r="D74" s="7" t="s">
        <v>574</v>
      </c>
      <c r="E74" s="7" t="s">
        <v>47</v>
      </c>
      <c r="F74" s="7" t="s">
        <v>591</v>
      </c>
      <c r="G74" s="7" t="s">
        <v>181</v>
      </c>
      <c r="H74" s="7" t="s">
        <v>576</v>
      </c>
      <c r="I74" s="7" t="s">
        <v>584</v>
      </c>
      <c r="J74" s="9">
        <v>4333</v>
      </c>
      <c r="K74" s="9">
        <v>99</v>
      </c>
      <c r="L74" s="9">
        <v>0</v>
      </c>
      <c r="M74" s="11">
        <v>-544.999999</v>
      </c>
      <c r="N74" s="7" t="s">
        <v>592</v>
      </c>
    </row>
    <row r="75" spans="1:14" ht="21" customHeight="1">
      <c r="A75" s="7" t="s">
        <v>192</v>
      </c>
      <c r="B75" s="7" t="s">
        <v>192</v>
      </c>
      <c r="C75" s="7" t="s">
        <v>332</v>
      </c>
      <c r="D75" s="7" t="s">
        <v>574</v>
      </c>
      <c r="E75" s="7" t="s">
        <v>47</v>
      </c>
      <c r="F75" s="7" t="s">
        <v>591</v>
      </c>
      <c r="G75" s="7" t="s">
        <v>181</v>
      </c>
      <c r="H75" s="7" t="s">
        <v>576</v>
      </c>
      <c r="I75" s="7" t="s">
        <v>584</v>
      </c>
      <c r="J75" s="9">
        <v>4454</v>
      </c>
      <c r="K75" s="9">
        <v>111</v>
      </c>
      <c r="L75" s="9">
        <v>1</v>
      </c>
      <c r="M75" s="11">
        <v>322.500001</v>
      </c>
      <c r="N75" s="7" t="s">
        <v>592</v>
      </c>
    </row>
    <row r="76" spans="1:14" ht="21" customHeight="1">
      <c r="A76" s="7" t="s">
        <v>450</v>
      </c>
      <c r="B76" s="7" t="s">
        <v>450</v>
      </c>
      <c r="C76" s="7" t="s">
        <v>451</v>
      </c>
      <c r="D76" s="7" t="s">
        <v>574</v>
      </c>
      <c r="E76" s="7" t="s">
        <v>47</v>
      </c>
      <c r="F76" s="7" t="s">
        <v>591</v>
      </c>
      <c r="G76" s="7" t="s">
        <v>181</v>
      </c>
      <c r="H76" s="7" t="s">
        <v>576</v>
      </c>
      <c r="I76" s="7" t="s">
        <v>584</v>
      </c>
      <c r="J76" s="9">
        <v>4210</v>
      </c>
      <c r="K76" s="9">
        <v>107</v>
      </c>
      <c r="L76" s="9">
        <v>4</v>
      </c>
      <c r="M76" s="11">
        <v>3379.9999969999999</v>
      </c>
      <c r="N76" s="7" t="s">
        <v>592</v>
      </c>
    </row>
    <row r="77" spans="1:14" ht="21" customHeight="1">
      <c r="A77" s="7" t="s">
        <v>521</v>
      </c>
      <c r="B77" s="7" t="s">
        <v>521</v>
      </c>
      <c r="C77" s="7" t="s">
        <v>522</v>
      </c>
      <c r="D77" s="7" t="s">
        <v>574</v>
      </c>
      <c r="E77" s="7" t="s">
        <v>47</v>
      </c>
      <c r="F77" s="7" t="s">
        <v>591</v>
      </c>
      <c r="G77" s="7" t="s">
        <v>181</v>
      </c>
      <c r="H77" s="7" t="s">
        <v>576</v>
      </c>
      <c r="I77" s="7" t="s">
        <v>584</v>
      </c>
      <c r="J77" s="9">
        <v>584</v>
      </c>
      <c r="K77" s="9">
        <v>6</v>
      </c>
      <c r="L77" s="9">
        <v>0</v>
      </c>
      <c r="M77" s="11">
        <v>0</v>
      </c>
      <c r="N77" s="7" t="s">
        <v>592</v>
      </c>
    </row>
    <row r="78" spans="1:14" ht="21" customHeight="1">
      <c r="A78" s="7" t="s">
        <v>184</v>
      </c>
      <c r="B78" s="7" t="s">
        <v>184</v>
      </c>
      <c r="C78" s="7" t="s">
        <v>322</v>
      </c>
      <c r="D78" s="7" t="s">
        <v>574</v>
      </c>
      <c r="E78" s="7" t="s">
        <v>47</v>
      </c>
      <c r="F78" s="7" t="s">
        <v>591</v>
      </c>
      <c r="G78" s="7" t="s">
        <v>181</v>
      </c>
      <c r="H78" s="7" t="s">
        <v>576</v>
      </c>
      <c r="I78" s="7" t="s">
        <v>584</v>
      </c>
      <c r="J78" s="9">
        <v>8907</v>
      </c>
      <c r="K78" s="9">
        <v>430</v>
      </c>
      <c r="L78" s="9">
        <v>25</v>
      </c>
      <c r="M78" s="11">
        <v>16846.890219000001</v>
      </c>
      <c r="N78" s="7" t="s">
        <v>592</v>
      </c>
    </row>
    <row r="79" spans="1:14" ht="21" customHeight="1">
      <c r="A79" s="7" t="s">
        <v>194</v>
      </c>
      <c r="B79" s="7" t="s">
        <v>194</v>
      </c>
      <c r="C79" s="7" t="s">
        <v>331</v>
      </c>
      <c r="D79" s="7" t="s">
        <v>574</v>
      </c>
      <c r="E79" s="7" t="s">
        <v>47</v>
      </c>
      <c r="F79" s="7" t="s">
        <v>591</v>
      </c>
      <c r="G79" s="7" t="s">
        <v>181</v>
      </c>
      <c r="H79" s="7" t="s">
        <v>576</v>
      </c>
      <c r="I79" s="7" t="s">
        <v>584</v>
      </c>
      <c r="J79" s="9">
        <v>7383</v>
      </c>
      <c r="K79" s="9">
        <v>156</v>
      </c>
      <c r="L79" s="9">
        <v>4</v>
      </c>
      <c r="M79" s="11">
        <v>1415.0000009999999</v>
      </c>
      <c r="N79" s="7" t="s">
        <v>592</v>
      </c>
    </row>
    <row r="80" spans="1:14" ht="21" customHeight="1">
      <c r="A80" s="7" t="s">
        <v>498</v>
      </c>
      <c r="B80" s="7" t="s">
        <v>498</v>
      </c>
      <c r="C80" s="7" t="s">
        <v>563</v>
      </c>
      <c r="D80" s="7" t="s">
        <v>574</v>
      </c>
      <c r="E80" s="7" t="s">
        <v>47</v>
      </c>
      <c r="F80" s="7" t="s">
        <v>591</v>
      </c>
      <c r="G80" s="7" t="s">
        <v>181</v>
      </c>
      <c r="H80" s="7" t="s">
        <v>576</v>
      </c>
      <c r="I80" s="7" t="s">
        <v>584</v>
      </c>
      <c r="J80" s="9">
        <v>1622</v>
      </c>
      <c r="K80" s="9">
        <v>24</v>
      </c>
      <c r="L80" s="9">
        <v>0</v>
      </c>
      <c r="M80" s="11">
        <v>0</v>
      </c>
      <c r="N80" s="7" t="s">
        <v>592</v>
      </c>
    </row>
    <row r="81" spans="1:14" ht="21" customHeight="1">
      <c r="A81" s="7" t="s">
        <v>186</v>
      </c>
      <c r="B81" s="7" t="s">
        <v>186</v>
      </c>
      <c r="C81" s="7" t="s">
        <v>594</v>
      </c>
      <c r="D81" s="7" t="s">
        <v>574</v>
      </c>
      <c r="E81" s="7" t="s">
        <v>47</v>
      </c>
      <c r="F81" s="7" t="s">
        <v>591</v>
      </c>
      <c r="G81" s="7" t="s">
        <v>181</v>
      </c>
      <c r="H81" s="7" t="s">
        <v>576</v>
      </c>
      <c r="I81" s="7" t="s">
        <v>584</v>
      </c>
      <c r="J81" s="9">
        <v>10914</v>
      </c>
      <c r="K81" s="9">
        <v>321</v>
      </c>
      <c r="L81" s="9">
        <v>13</v>
      </c>
      <c r="M81" s="11">
        <v>3680</v>
      </c>
      <c r="N81" s="7" t="s">
        <v>592</v>
      </c>
    </row>
    <row r="82" spans="1:14" ht="21" customHeight="1">
      <c r="A82" s="7" t="s">
        <v>196</v>
      </c>
      <c r="B82" s="7" t="s">
        <v>196</v>
      </c>
      <c r="C82" s="7" t="s">
        <v>323</v>
      </c>
      <c r="D82" s="7" t="s">
        <v>574</v>
      </c>
      <c r="E82" s="7" t="s">
        <v>47</v>
      </c>
      <c r="F82" s="7" t="s">
        <v>591</v>
      </c>
      <c r="G82" s="7" t="s">
        <v>181</v>
      </c>
      <c r="H82" s="7" t="s">
        <v>576</v>
      </c>
      <c r="I82" s="7" t="s">
        <v>584</v>
      </c>
      <c r="J82" s="9">
        <v>6555</v>
      </c>
      <c r="K82" s="9">
        <v>355</v>
      </c>
      <c r="L82" s="9">
        <v>6</v>
      </c>
      <c r="M82" s="11">
        <v>3442.6400020000001</v>
      </c>
      <c r="N82" s="7" t="s">
        <v>592</v>
      </c>
    </row>
    <row r="83" spans="1:14" ht="21" customHeight="1">
      <c r="A83" s="7" t="s">
        <v>198</v>
      </c>
      <c r="B83" s="7" t="s">
        <v>198</v>
      </c>
      <c r="C83" s="7" t="s">
        <v>324</v>
      </c>
      <c r="D83" s="7" t="s">
        <v>574</v>
      </c>
      <c r="E83" s="7" t="s">
        <v>47</v>
      </c>
      <c r="F83" s="7" t="s">
        <v>591</v>
      </c>
      <c r="G83" s="7" t="s">
        <v>181</v>
      </c>
      <c r="H83" s="7" t="s">
        <v>576</v>
      </c>
      <c r="I83" s="7" t="s">
        <v>584</v>
      </c>
      <c r="J83" s="9">
        <v>12210</v>
      </c>
      <c r="K83" s="9">
        <v>288</v>
      </c>
      <c r="L83" s="9">
        <v>9</v>
      </c>
      <c r="M83" s="11">
        <v>5800.3599990000012</v>
      </c>
      <c r="N83" s="7" t="s">
        <v>592</v>
      </c>
    </row>
    <row r="84" spans="1:14" ht="21" customHeight="1">
      <c r="A84" s="7" t="s">
        <v>452</v>
      </c>
      <c r="B84" s="7" t="s">
        <v>452</v>
      </c>
      <c r="C84" s="7" t="s">
        <v>453</v>
      </c>
      <c r="D84" s="7" t="s">
        <v>574</v>
      </c>
      <c r="E84" s="7" t="s">
        <v>47</v>
      </c>
      <c r="F84" s="7" t="s">
        <v>591</v>
      </c>
      <c r="G84" s="7" t="s">
        <v>181</v>
      </c>
      <c r="H84" s="7" t="s">
        <v>576</v>
      </c>
      <c r="I84" s="7" t="s">
        <v>584</v>
      </c>
      <c r="J84" s="9">
        <v>809</v>
      </c>
      <c r="K84" s="9">
        <v>5</v>
      </c>
      <c r="L84" s="9">
        <v>0</v>
      </c>
      <c r="M84" s="11">
        <v>0</v>
      </c>
      <c r="N84" s="7" t="s">
        <v>592</v>
      </c>
    </row>
    <row r="85" spans="1:14" ht="21" customHeight="1">
      <c r="A85" s="7" t="s">
        <v>200</v>
      </c>
      <c r="B85" s="7" t="s">
        <v>200</v>
      </c>
      <c r="C85" s="7" t="s">
        <v>327</v>
      </c>
      <c r="D85" s="7" t="s">
        <v>574</v>
      </c>
      <c r="E85" s="7" t="s">
        <v>47</v>
      </c>
      <c r="F85" s="7" t="s">
        <v>591</v>
      </c>
      <c r="G85" s="7" t="s">
        <v>181</v>
      </c>
      <c r="H85" s="7" t="s">
        <v>576</v>
      </c>
      <c r="I85" s="7" t="s">
        <v>584</v>
      </c>
      <c r="J85" s="9">
        <v>5418</v>
      </c>
      <c r="K85" s="9">
        <v>228</v>
      </c>
      <c r="L85" s="9">
        <v>9</v>
      </c>
      <c r="M85" s="11">
        <v>3120.4948319999999</v>
      </c>
      <c r="N85" s="7" t="s">
        <v>592</v>
      </c>
    </row>
    <row r="86" spans="1:14" ht="21" customHeight="1">
      <c r="A86" s="7" t="s">
        <v>202</v>
      </c>
      <c r="B86" s="7" t="s">
        <v>202</v>
      </c>
      <c r="C86" s="7" t="s">
        <v>326</v>
      </c>
      <c r="D86" s="7" t="s">
        <v>574</v>
      </c>
      <c r="E86" s="7" t="s">
        <v>47</v>
      </c>
      <c r="F86" s="7" t="s">
        <v>591</v>
      </c>
      <c r="G86" s="7" t="s">
        <v>181</v>
      </c>
      <c r="H86" s="7" t="s">
        <v>576</v>
      </c>
      <c r="I86" s="7" t="s">
        <v>584</v>
      </c>
      <c r="J86" s="9">
        <v>6969</v>
      </c>
      <c r="K86" s="9">
        <v>185</v>
      </c>
      <c r="L86" s="9">
        <v>6</v>
      </c>
      <c r="M86" s="11">
        <v>2747.499996</v>
      </c>
      <c r="N86" s="7" t="s">
        <v>592</v>
      </c>
    </row>
    <row r="87" spans="1:14" ht="21" customHeight="1">
      <c r="A87" s="7" t="s">
        <v>188</v>
      </c>
      <c r="B87" s="7" t="s">
        <v>188</v>
      </c>
      <c r="C87" s="7" t="s">
        <v>189</v>
      </c>
      <c r="D87" s="7" t="s">
        <v>574</v>
      </c>
      <c r="E87" s="7" t="s">
        <v>47</v>
      </c>
      <c r="F87" s="7" t="s">
        <v>591</v>
      </c>
      <c r="G87" s="7" t="s">
        <v>181</v>
      </c>
      <c r="H87" s="7" t="s">
        <v>576</v>
      </c>
      <c r="I87" s="7" t="s">
        <v>584</v>
      </c>
      <c r="J87" s="9">
        <v>7449</v>
      </c>
      <c r="K87" s="9">
        <v>367</v>
      </c>
      <c r="L87" s="9">
        <v>8</v>
      </c>
      <c r="M87" s="11">
        <v>3310.0000019999998</v>
      </c>
      <c r="N87" s="7" t="s">
        <v>592</v>
      </c>
    </row>
    <row r="88" spans="1:14" ht="21" customHeight="1">
      <c r="A88" s="7" t="s">
        <v>204</v>
      </c>
      <c r="B88" s="7" t="s">
        <v>204</v>
      </c>
      <c r="C88" s="7" t="s">
        <v>328</v>
      </c>
      <c r="D88" s="7" t="s">
        <v>574</v>
      </c>
      <c r="E88" s="7" t="s">
        <v>47</v>
      </c>
      <c r="F88" s="7" t="s">
        <v>591</v>
      </c>
      <c r="G88" s="7" t="s">
        <v>181</v>
      </c>
      <c r="H88" s="7" t="s">
        <v>576</v>
      </c>
      <c r="I88" s="7" t="s">
        <v>584</v>
      </c>
      <c r="J88" s="9">
        <v>5967</v>
      </c>
      <c r="K88" s="9">
        <v>192</v>
      </c>
      <c r="L88" s="9">
        <v>6</v>
      </c>
      <c r="M88" s="11">
        <v>1202.5</v>
      </c>
      <c r="N88" s="7" t="s">
        <v>592</v>
      </c>
    </row>
    <row r="89" spans="1:14" ht="21" customHeight="1">
      <c r="A89" s="7" t="s">
        <v>537</v>
      </c>
      <c r="B89" s="7" t="s">
        <v>537</v>
      </c>
      <c r="C89" s="7" t="s">
        <v>538</v>
      </c>
      <c r="D89" s="7" t="s">
        <v>574</v>
      </c>
      <c r="E89" s="7" t="s">
        <v>47</v>
      </c>
      <c r="F89" s="7" t="s">
        <v>591</v>
      </c>
      <c r="G89" s="7" t="s">
        <v>181</v>
      </c>
      <c r="H89" s="7" t="s">
        <v>576</v>
      </c>
      <c r="I89" s="7" t="s">
        <v>584</v>
      </c>
      <c r="J89" s="9">
        <v>1765</v>
      </c>
      <c r="K89" s="9">
        <v>10</v>
      </c>
      <c r="L89" s="9">
        <v>0</v>
      </c>
      <c r="M89" s="11">
        <v>0</v>
      </c>
      <c r="N89" s="7" t="s">
        <v>592</v>
      </c>
    </row>
    <row r="90" spans="1:14" ht="21" customHeight="1">
      <c r="A90" s="7" t="s">
        <v>206</v>
      </c>
      <c r="B90" s="7" t="s">
        <v>206</v>
      </c>
      <c r="C90" s="7" t="s">
        <v>334</v>
      </c>
      <c r="D90" s="7" t="s">
        <v>574</v>
      </c>
      <c r="E90" s="7" t="s">
        <v>47</v>
      </c>
      <c r="F90" s="7" t="s">
        <v>591</v>
      </c>
      <c r="G90" s="7" t="s">
        <v>181</v>
      </c>
      <c r="H90" s="7" t="s">
        <v>576</v>
      </c>
      <c r="I90" s="7" t="s">
        <v>584</v>
      </c>
      <c r="J90" s="9">
        <v>5636</v>
      </c>
      <c r="K90" s="9">
        <v>48</v>
      </c>
      <c r="L90" s="9">
        <v>0</v>
      </c>
      <c r="M90" s="11">
        <v>0</v>
      </c>
      <c r="N90" s="7" t="s">
        <v>592</v>
      </c>
    </row>
    <row r="91" spans="1:14" ht="21" customHeight="1">
      <c r="A91" s="7" t="s">
        <v>208</v>
      </c>
      <c r="B91" s="7" t="s">
        <v>208</v>
      </c>
      <c r="C91" s="7" t="s">
        <v>340</v>
      </c>
      <c r="D91" s="7" t="s">
        <v>574</v>
      </c>
      <c r="E91" s="7" t="s">
        <v>48</v>
      </c>
      <c r="F91" s="7" t="s">
        <v>595</v>
      </c>
      <c r="G91" s="7" t="s">
        <v>210</v>
      </c>
      <c r="H91" s="7" t="s">
        <v>576</v>
      </c>
      <c r="I91" s="7" t="s">
        <v>584</v>
      </c>
      <c r="J91" s="9">
        <v>1692</v>
      </c>
      <c r="K91" s="9">
        <v>19</v>
      </c>
      <c r="L91" s="9">
        <v>0</v>
      </c>
      <c r="M91" s="11">
        <v>0</v>
      </c>
      <c r="N91" s="7" t="s">
        <v>596</v>
      </c>
    </row>
    <row r="92" spans="1:14" ht="21" customHeight="1">
      <c r="A92" s="7" t="s">
        <v>211</v>
      </c>
      <c r="B92" s="7" t="s">
        <v>211</v>
      </c>
      <c r="C92" s="7" t="s">
        <v>341</v>
      </c>
      <c r="D92" s="7" t="s">
        <v>574</v>
      </c>
      <c r="E92" s="7" t="s">
        <v>48</v>
      </c>
      <c r="F92" s="7" t="s">
        <v>597</v>
      </c>
      <c r="G92" s="7" t="s">
        <v>213</v>
      </c>
      <c r="H92" s="7" t="s">
        <v>583</v>
      </c>
      <c r="I92" s="7" t="s">
        <v>584</v>
      </c>
      <c r="J92" s="9">
        <v>521</v>
      </c>
      <c r="K92" s="9">
        <v>1</v>
      </c>
      <c r="L92" s="9">
        <v>0</v>
      </c>
      <c r="M92" s="11">
        <v>0</v>
      </c>
      <c r="N92" s="7" t="s">
        <v>596</v>
      </c>
    </row>
    <row r="93" spans="1:14" ht="21" customHeight="1">
      <c r="A93" s="7" t="s">
        <v>214</v>
      </c>
      <c r="B93" s="7" t="s">
        <v>214</v>
      </c>
      <c r="C93" s="7" t="s">
        <v>598</v>
      </c>
      <c r="D93" s="7" t="s">
        <v>574</v>
      </c>
      <c r="E93" s="7" t="s">
        <v>48</v>
      </c>
      <c r="F93" s="7" t="s">
        <v>597</v>
      </c>
      <c r="G93" s="7" t="s">
        <v>213</v>
      </c>
      <c r="H93" s="7" t="s">
        <v>583</v>
      </c>
      <c r="I93" s="7" t="s">
        <v>584</v>
      </c>
      <c r="J93" s="9">
        <v>19</v>
      </c>
      <c r="K93" s="9">
        <v>0</v>
      </c>
      <c r="L93" s="9">
        <v>0</v>
      </c>
      <c r="M93" s="11">
        <v>0</v>
      </c>
      <c r="N93" s="7" t="s">
        <v>596</v>
      </c>
    </row>
    <row r="94" spans="1:14" ht="21" customHeight="1">
      <c r="A94" s="7" t="s">
        <v>216</v>
      </c>
      <c r="B94" s="7" t="s">
        <v>216</v>
      </c>
      <c r="C94" s="7" t="s">
        <v>599</v>
      </c>
      <c r="D94" s="7" t="s">
        <v>574</v>
      </c>
      <c r="E94" s="7" t="s">
        <v>48</v>
      </c>
      <c r="F94" s="7" t="s">
        <v>575</v>
      </c>
      <c r="G94" s="7" t="s">
        <v>61</v>
      </c>
      <c r="H94" s="7" t="s">
        <v>576</v>
      </c>
      <c r="I94" s="7" t="s">
        <v>577</v>
      </c>
      <c r="J94" s="9">
        <v>974</v>
      </c>
      <c r="K94" s="9">
        <v>12</v>
      </c>
      <c r="L94" s="9">
        <v>2</v>
      </c>
      <c r="M94" s="11">
        <v>35950</v>
      </c>
      <c r="N94" s="7" t="s">
        <v>578</v>
      </c>
    </row>
    <row r="95" spans="1:14" ht="21" customHeight="1">
      <c r="A95" s="7" t="s">
        <v>218</v>
      </c>
      <c r="B95" s="7" t="s">
        <v>218</v>
      </c>
      <c r="C95" s="7" t="s">
        <v>600</v>
      </c>
      <c r="D95" s="7" t="s">
        <v>574</v>
      </c>
      <c r="E95" s="7" t="s">
        <v>48</v>
      </c>
      <c r="F95" s="7" t="s">
        <v>597</v>
      </c>
      <c r="G95" s="7" t="s">
        <v>213</v>
      </c>
      <c r="H95" s="7" t="s">
        <v>583</v>
      </c>
      <c r="I95" s="7" t="s">
        <v>584</v>
      </c>
      <c r="J95" s="9">
        <v>37</v>
      </c>
      <c r="K95" s="9">
        <v>0</v>
      </c>
      <c r="L95" s="9">
        <v>0</v>
      </c>
      <c r="M95" s="11">
        <v>0</v>
      </c>
      <c r="N95" s="7" t="s">
        <v>596</v>
      </c>
    </row>
    <row r="96" spans="1:14" ht="21" customHeight="1">
      <c r="A96" s="7" t="s">
        <v>220</v>
      </c>
      <c r="B96" s="7" t="s">
        <v>220</v>
      </c>
      <c r="C96" s="7" t="s">
        <v>342</v>
      </c>
      <c r="D96" s="7" t="s">
        <v>574</v>
      </c>
      <c r="E96" s="7" t="s">
        <v>48</v>
      </c>
      <c r="F96" s="7" t="s">
        <v>595</v>
      </c>
      <c r="G96" s="7" t="s">
        <v>210</v>
      </c>
      <c r="H96" s="7" t="s">
        <v>576</v>
      </c>
      <c r="I96" s="7" t="s">
        <v>584</v>
      </c>
      <c r="J96" s="9">
        <v>561</v>
      </c>
      <c r="K96" s="9">
        <v>12</v>
      </c>
      <c r="L96" s="9">
        <v>0</v>
      </c>
      <c r="M96" s="11">
        <v>0</v>
      </c>
      <c r="N96" s="7" t="s">
        <v>596</v>
      </c>
    </row>
    <row r="97" spans="1:14" ht="21" customHeight="1">
      <c r="A97" s="7" t="s">
        <v>222</v>
      </c>
      <c r="B97" s="7" t="s">
        <v>222</v>
      </c>
      <c r="C97" s="7" t="s">
        <v>601</v>
      </c>
      <c r="D97" s="7" t="s">
        <v>574</v>
      </c>
      <c r="E97" s="7" t="s">
        <v>48</v>
      </c>
      <c r="F97" s="7" t="s">
        <v>595</v>
      </c>
      <c r="G97" s="7" t="s">
        <v>210</v>
      </c>
      <c r="H97" s="7" t="s">
        <v>576</v>
      </c>
      <c r="I97" s="7" t="s">
        <v>584</v>
      </c>
      <c r="J97" s="9">
        <v>1435</v>
      </c>
      <c r="K97" s="9">
        <v>19</v>
      </c>
      <c r="L97" s="9">
        <v>0</v>
      </c>
      <c r="M97" s="11">
        <v>0</v>
      </c>
      <c r="N97" s="7" t="s">
        <v>596</v>
      </c>
    </row>
    <row r="98" spans="1:14" ht="21" customHeight="1">
      <c r="A98" s="7" t="s">
        <v>224</v>
      </c>
      <c r="B98" s="7" t="s">
        <v>224</v>
      </c>
      <c r="C98" s="7" t="s">
        <v>602</v>
      </c>
      <c r="D98" s="7" t="s">
        <v>574</v>
      </c>
      <c r="E98" s="7" t="s">
        <v>48</v>
      </c>
      <c r="F98" s="7" t="s">
        <v>597</v>
      </c>
      <c r="G98" s="7" t="s">
        <v>213</v>
      </c>
      <c r="H98" s="7" t="s">
        <v>583</v>
      </c>
      <c r="I98" s="7" t="s">
        <v>584</v>
      </c>
      <c r="J98" s="9">
        <v>81</v>
      </c>
      <c r="K98" s="9">
        <v>0</v>
      </c>
      <c r="L98" s="9">
        <v>0</v>
      </c>
      <c r="M98" s="11">
        <v>0</v>
      </c>
      <c r="N98" s="7" t="s">
        <v>596</v>
      </c>
    </row>
    <row r="99" spans="1:14" ht="21" customHeight="1">
      <c r="A99" s="7" t="s">
        <v>226</v>
      </c>
      <c r="B99" s="7" t="s">
        <v>226</v>
      </c>
      <c r="C99" s="7" t="s">
        <v>344</v>
      </c>
      <c r="D99" s="7" t="s">
        <v>574</v>
      </c>
      <c r="E99" s="7" t="s">
        <v>48</v>
      </c>
      <c r="F99" s="7" t="s">
        <v>595</v>
      </c>
      <c r="G99" s="7" t="s">
        <v>210</v>
      </c>
      <c r="H99" s="7" t="s">
        <v>576</v>
      </c>
      <c r="I99" s="7" t="s">
        <v>584</v>
      </c>
      <c r="J99" s="9">
        <v>2120</v>
      </c>
      <c r="K99" s="9">
        <v>14</v>
      </c>
      <c r="L99" s="9">
        <v>0</v>
      </c>
      <c r="M99" s="11">
        <v>0</v>
      </c>
      <c r="N99" s="7" t="s">
        <v>596</v>
      </c>
    </row>
    <row r="100" spans="1:14" ht="21" customHeight="1">
      <c r="A100" s="7" t="s">
        <v>228</v>
      </c>
      <c r="B100" s="7" t="s">
        <v>228</v>
      </c>
      <c r="C100" s="7" t="s">
        <v>345</v>
      </c>
      <c r="D100" s="7" t="s">
        <v>574</v>
      </c>
      <c r="E100" s="7" t="s">
        <v>48</v>
      </c>
      <c r="F100" s="7" t="s">
        <v>595</v>
      </c>
      <c r="G100" s="7" t="s">
        <v>210</v>
      </c>
      <c r="H100" s="7" t="s">
        <v>576</v>
      </c>
      <c r="I100" s="7" t="s">
        <v>584</v>
      </c>
      <c r="J100" s="9">
        <v>1607</v>
      </c>
      <c r="K100" s="9">
        <v>30</v>
      </c>
      <c r="L100" s="9">
        <v>0</v>
      </c>
      <c r="M100" s="11">
        <v>0</v>
      </c>
      <c r="N100" s="7" t="s">
        <v>596</v>
      </c>
    </row>
    <row r="101" spans="1:14" ht="21" customHeight="1">
      <c r="A101" s="7" t="s">
        <v>230</v>
      </c>
      <c r="B101" s="7" t="s">
        <v>230</v>
      </c>
      <c r="C101" s="7" t="s">
        <v>603</v>
      </c>
      <c r="D101" s="7" t="s">
        <v>574</v>
      </c>
      <c r="E101" s="7" t="s">
        <v>48</v>
      </c>
      <c r="F101" s="7" t="s">
        <v>575</v>
      </c>
      <c r="G101" s="7" t="s">
        <v>61</v>
      </c>
      <c r="H101" s="7" t="s">
        <v>576</v>
      </c>
      <c r="I101" s="7" t="s">
        <v>577</v>
      </c>
      <c r="J101" s="9">
        <v>11509</v>
      </c>
      <c r="K101" s="9">
        <v>231</v>
      </c>
      <c r="L101" s="9">
        <v>6</v>
      </c>
      <c r="M101" s="11">
        <v>29424.999999</v>
      </c>
      <c r="N101" s="7" t="s">
        <v>578</v>
      </c>
    </row>
    <row r="102" spans="1:14" ht="21" customHeight="1">
      <c r="A102" s="7" t="s">
        <v>504</v>
      </c>
      <c r="B102" s="7" t="s">
        <v>504</v>
      </c>
      <c r="C102" s="7" t="s">
        <v>526</v>
      </c>
      <c r="D102" s="7" t="s">
        <v>574</v>
      </c>
      <c r="E102" s="7" t="s">
        <v>48</v>
      </c>
      <c r="F102" s="7" t="s">
        <v>597</v>
      </c>
      <c r="G102" s="7" t="s">
        <v>213</v>
      </c>
      <c r="H102" s="7" t="s">
        <v>583</v>
      </c>
      <c r="I102" s="7" t="s">
        <v>584</v>
      </c>
      <c r="J102" s="9">
        <v>84</v>
      </c>
      <c r="K102" s="9">
        <v>0</v>
      </c>
      <c r="L102" s="9">
        <v>0</v>
      </c>
      <c r="M102" s="11">
        <v>0</v>
      </c>
      <c r="N102" s="7" t="s">
        <v>596</v>
      </c>
    </row>
    <row r="103" spans="1:14" ht="21" customHeight="1">
      <c r="A103" s="7" t="s">
        <v>346</v>
      </c>
      <c r="B103" s="7" t="s">
        <v>346</v>
      </c>
      <c r="C103" s="7" t="s">
        <v>604</v>
      </c>
      <c r="D103" s="7" t="s">
        <v>574</v>
      </c>
      <c r="E103" s="7" t="s">
        <v>48</v>
      </c>
      <c r="F103" s="7" t="s">
        <v>597</v>
      </c>
      <c r="G103" s="7" t="s">
        <v>213</v>
      </c>
      <c r="H103" s="7" t="s">
        <v>583</v>
      </c>
      <c r="I103" s="7" t="s">
        <v>584</v>
      </c>
      <c r="J103" s="9">
        <v>16</v>
      </c>
      <c r="K103" s="9">
        <v>0</v>
      </c>
      <c r="L103" s="9">
        <v>0</v>
      </c>
      <c r="M103" s="11">
        <v>0</v>
      </c>
      <c r="N103" s="7" t="s">
        <v>596</v>
      </c>
    </row>
    <row r="104" spans="1:14" ht="21" customHeight="1">
      <c r="A104" s="7" t="s">
        <v>232</v>
      </c>
      <c r="B104" s="7" t="s">
        <v>232</v>
      </c>
      <c r="C104" s="7" t="s">
        <v>335</v>
      </c>
      <c r="D104" s="7" t="s">
        <v>574</v>
      </c>
      <c r="E104" s="7" t="s">
        <v>48</v>
      </c>
      <c r="F104" s="7" t="s">
        <v>575</v>
      </c>
      <c r="G104" s="7" t="s">
        <v>61</v>
      </c>
      <c r="H104" s="7" t="s">
        <v>576</v>
      </c>
      <c r="I104" s="7" t="s">
        <v>577</v>
      </c>
      <c r="J104" s="9">
        <v>10880</v>
      </c>
      <c r="K104" s="9">
        <v>170</v>
      </c>
      <c r="L104" s="9">
        <v>0</v>
      </c>
      <c r="M104" s="11">
        <v>-33849.999997999999</v>
      </c>
      <c r="N104" s="7" t="s">
        <v>578</v>
      </c>
    </row>
    <row r="105" spans="1:14" ht="21" customHeight="1">
      <c r="A105" s="7" t="s">
        <v>234</v>
      </c>
      <c r="B105" s="7" t="s">
        <v>234</v>
      </c>
      <c r="C105" s="7" t="s">
        <v>605</v>
      </c>
      <c r="D105" s="7" t="s">
        <v>574</v>
      </c>
      <c r="E105" s="7" t="s">
        <v>48</v>
      </c>
      <c r="F105" s="7" t="s">
        <v>575</v>
      </c>
      <c r="G105" s="7" t="s">
        <v>61</v>
      </c>
      <c r="H105" s="7" t="s">
        <v>576</v>
      </c>
      <c r="I105" s="7" t="s">
        <v>577</v>
      </c>
      <c r="J105" s="9">
        <v>125</v>
      </c>
      <c r="K105" s="9">
        <v>0</v>
      </c>
      <c r="L105" s="9">
        <v>0</v>
      </c>
      <c r="M105" s="11">
        <v>-4750</v>
      </c>
      <c r="N105" s="7" t="s">
        <v>578</v>
      </c>
    </row>
    <row r="106" spans="1:14" ht="21" customHeight="1">
      <c r="A106" s="7" t="s">
        <v>236</v>
      </c>
      <c r="B106" s="7" t="s">
        <v>236</v>
      </c>
      <c r="C106" s="7" t="s">
        <v>606</v>
      </c>
      <c r="D106" s="7" t="s">
        <v>581</v>
      </c>
      <c r="E106" s="7" t="s">
        <v>48</v>
      </c>
      <c r="F106" s="7" t="s">
        <v>597</v>
      </c>
      <c r="G106" s="7" t="s">
        <v>213</v>
      </c>
      <c r="H106" s="7" t="s">
        <v>583</v>
      </c>
      <c r="I106" s="7" t="s">
        <v>584</v>
      </c>
      <c r="J106" s="9">
        <v>27</v>
      </c>
      <c r="K106" s="9">
        <v>0</v>
      </c>
      <c r="L106" s="9">
        <v>0</v>
      </c>
      <c r="M106" s="11">
        <v>0</v>
      </c>
      <c r="N106" s="7" t="s">
        <v>596</v>
      </c>
    </row>
    <row r="107" spans="1:14" ht="21" customHeight="1">
      <c r="A107" s="7" t="s">
        <v>238</v>
      </c>
      <c r="B107" s="7" t="s">
        <v>238</v>
      </c>
      <c r="C107" s="7" t="s">
        <v>336</v>
      </c>
      <c r="D107" s="7" t="s">
        <v>574</v>
      </c>
      <c r="E107" s="7" t="s">
        <v>48</v>
      </c>
      <c r="F107" s="7" t="s">
        <v>575</v>
      </c>
      <c r="G107" s="7" t="s">
        <v>61</v>
      </c>
      <c r="H107" s="7" t="s">
        <v>576</v>
      </c>
      <c r="I107" s="7" t="s">
        <v>577</v>
      </c>
      <c r="J107" s="9">
        <v>1906</v>
      </c>
      <c r="K107" s="9">
        <v>14</v>
      </c>
      <c r="L107" s="9">
        <v>0</v>
      </c>
      <c r="M107" s="11">
        <v>-22399.999997999999</v>
      </c>
      <c r="N107" s="7" t="s">
        <v>578</v>
      </c>
    </row>
    <row r="108" spans="1:14" ht="21" customHeight="1">
      <c r="A108" s="7" t="s">
        <v>240</v>
      </c>
      <c r="B108" s="7" t="s">
        <v>240</v>
      </c>
      <c r="C108" s="7" t="s">
        <v>607</v>
      </c>
      <c r="D108" s="7" t="s">
        <v>581</v>
      </c>
      <c r="E108" s="7" t="s">
        <v>49</v>
      </c>
      <c r="F108" s="7" t="s">
        <v>608</v>
      </c>
      <c r="G108" s="7" t="s">
        <v>242</v>
      </c>
      <c r="H108" s="7" t="s">
        <v>583</v>
      </c>
      <c r="I108" s="7" t="s">
        <v>584</v>
      </c>
      <c r="J108" s="9">
        <v>9</v>
      </c>
      <c r="K108" s="9">
        <v>0</v>
      </c>
      <c r="L108" s="9">
        <v>0</v>
      </c>
      <c r="M108" s="11">
        <v>0</v>
      </c>
      <c r="N108" s="7" t="s">
        <v>585</v>
      </c>
    </row>
    <row r="109" spans="1:14" ht="21" customHeight="1">
      <c r="A109" s="7" t="s">
        <v>358</v>
      </c>
      <c r="B109" s="7" t="s">
        <v>358</v>
      </c>
      <c r="C109" s="7" t="s">
        <v>359</v>
      </c>
      <c r="D109" s="7" t="s">
        <v>581</v>
      </c>
      <c r="E109" s="7" t="s">
        <v>49</v>
      </c>
      <c r="F109" s="7" t="s">
        <v>608</v>
      </c>
      <c r="G109" s="7" t="s">
        <v>242</v>
      </c>
      <c r="H109" s="7" t="s">
        <v>583</v>
      </c>
      <c r="I109" s="7" t="s">
        <v>584</v>
      </c>
      <c r="J109" s="9">
        <v>0</v>
      </c>
      <c r="K109" s="9">
        <v>0</v>
      </c>
      <c r="L109" s="9">
        <v>0</v>
      </c>
      <c r="M109" s="11">
        <v>-748.999999</v>
      </c>
      <c r="N109" s="7" t="s">
        <v>585</v>
      </c>
    </row>
    <row r="110" spans="1:14" ht="21" customHeight="1">
      <c r="A110" s="7" t="s">
        <v>243</v>
      </c>
      <c r="B110" s="7" t="s">
        <v>243</v>
      </c>
      <c r="C110" s="7" t="s">
        <v>609</v>
      </c>
      <c r="D110" s="7" t="s">
        <v>574</v>
      </c>
      <c r="E110" s="7" t="s">
        <v>49</v>
      </c>
      <c r="F110" s="7" t="s">
        <v>608</v>
      </c>
      <c r="G110" s="7" t="s">
        <v>242</v>
      </c>
      <c r="H110" s="7" t="s">
        <v>583</v>
      </c>
      <c r="I110" s="7" t="s">
        <v>584</v>
      </c>
      <c r="J110" s="9">
        <v>9</v>
      </c>
      <c r="K110" s="9">
        <v>0</v>
      </c>
      <c r="L110" s="9">
        <v>0</v>
      </c>
      <c r="M110" s="11">
        <v>0</v>
      </c>
      <c r="N110" s="7" t="s">
        <v>585</v>
      </c>
    </row>
    <row r="111" spans="1:14" ht="21" customHeight="1">
      <c r="A111" s="7" t="s">
        <v>352</v>
      </c>
      <c r="B111" s="7" t="s">
        <v>352</v>
      </c>
      <c r="C111" s="7" t="s">
        <v>353</v>
      </c>
      <c r="D111" s="7" t="s">
        <v>581</v>
      </c>
      <c r="E111" s="7" t="s">
        <v>49</v>
      </c>
      <c r="F111" s="7" t="s">
        <v>575</v>
      </c>
      <c r="G111" s="7" t="s">
        <v>61</v>
      </c>
      <c r="H111" s="7" t="s">
        <v>576</v>
      </c>
      <c r="I111" s="7" t="s">
        <v>577</v>
      </c>
      <c r="J111" s="9">
        <v>0</v>
      </c>
      <c r="K111" s="9">
        <v>0</v>
      </c>
      <c r="L111" s="9">
        <v>0</v>
      </c>
      <c r="M111" s="11">
        <v>-22002.000001</v>
      </c>
      <c r="N111" s="7" t="s">
        <v>578</v>
      </c>
    </row>
    <row r="112" spans="1:14" ht="21" customHeight="1">
      <c r="A112" s="7" t="s">
        <v>245</v>
      </c>
      <c r="B112" s="7" t="s">
        <v>245</v>
      </c>
      <c r="C112" s="7" t="s">
        <v>610</v>
      </c>
      <c r="D112" s="7" t="s">
        <v>574</v>
      </c>
      <c r="E112" s="7" t="s">
        <v>49</v>
      </c>
      <c r="F112" s="7" t="s">
        <v>575</v>
      </c>
      <c r="G112" s="7" t="s">
        <v>61</v>
      </c>
      <c r="H112" s="7" t="s">
        <v>576</v>
      </c>
      <c r="I112" s="7" t="s">
        <v>577</v>
      </c>
      <c r="J112" s="9">
        <v>9</v>
      </c>
      <c r="K112" s="9">
        <v>0</v>
      </c>
      <c r="L112" s="9">
        <v>0</v>
      </c>
      <c r="M112" s="11">
        <v>-1400</v>
      </c>
      <c r="N112" s="7" t="s">
        <v>578</v>
      </c>
    </row>
    <row r="113" spans="1:14" ht="21" customHeight="1">
      <c r="A113" s="7" t="s">
        <v>348</v>
      </c>
      <c r="B113" s="7" t="s">
        <v>348</v>
      </c>
      <c r="C113" s="7" t="s">
        <v>349</v>
      </c>
      <c r="D113" s="7" t="s">
        <v>581</v>
      </c>
      <c r="E113" s="7" t="s">
        <v>49</v>
      </c>
      <c r="F113" s="7" t="s">
        <v>575</v>
      </c>
      <c r="G113" s="7" t="s">
        <v>61</v>
      </c>
      <c r="H113" s="7" t="s">
        <v>576</v>
      </c>
      <c r="I113" s="7" t="s">
        <v>577</v>
      </c>
      <c r="J113" s="9">
        <v>2</v>
      </c>
      <c r="K113" s="9">
        <v>0</v>
      </c>
      <c r="L113" s="9">
        <v>0</v>
      </c>
      <c r="M113" s="11">
        <v>-38017.499994999998</v>
      </c>
      <c r="N113" s="7" t="s">
        <v>578</v>
      </c>
    </row>
    <row r="114" spans="1:14" ht="21" customHeight="1">
      <c r="A114" s="7" t="s">
        <v>354</v>
      </c>
      <c r="B114" s="7" t="s">
        <v>354</v>
      </c>
      <c r="C114" s="7" t="s">
        <v>549</v>
      </c>
      <c r="D114" s="7" t="s">
        <v>574</v>
      </c>
      <c r="E114" s="7" t="s">
        <v>49</v>
      </c>
      <c r="F114" s="7" t="s">
        <v>575</v>
      </c>
      <c r="G114" s="7" t="s">
        <v>61</v>
      </c>
      <c r="H114" s="7" t="s">
        <v>576</v>
      </c>
      <c r="I114" s="7" t="s">
        <v>577</v>
      </c>
      <c r="J114" s="9">
        <v>5</v>
      </c>
      <c r="K114" s="9">
        <v>0</v>
      </c>
      <c r="L114" s="9">
        <v>0</v>
      </c>
      <c r="M114" s="11">
        <v>-5100.2799990000003</v>
      </c>
      <c r="N114" s="7" t="s">
        <v>578</v>
      </c>
    </row>
    <row r="115" spans="1:14" ht="21" customHeight="1">
      <c r="A115" s="7" t="s">
        <v>247</v>
      </c>
      <c r="B115" s="7" t="s">
        <v>247</v>
      </c>
      <c r="C115" s="7" t="s">
        <v>611</v>
      </c>
      <c r="D115" s="7" t="s">
        <v>581</v>
      </c>
      <c r="E115" s="7" t="s">
        <v>49</v>
      </c>
      <c r="F115" s="7" t="s">
        <v>575</v>
      </c>
      <c r="G115" s="7" t="s">
        <v>61</v>
      </c>
      <c r="H115" s="7" t="s">
        <v>576</v>
      </c>
      <c r="I115" s="7" t="s">
        <v>577</v>
      </c>
      <c r="J115" s="9">
        <v>81</v>
      </c>
      <c r="K115" s="9">
        <v>4</v>
      </c>
      <c r="L115" s="9">
        <v>0</v>
      </c>
      <c r="M115" s="11">
        <v>-3000.4300020000001</v>
      </c>
      <c r="N115" s="7" t="s">
        <v>578</v>
      </c>
    </row>
    <row r="116" spans="1:14" ht="21" customHeight="1">
      <c r="A116" s="7" t="s">
        <v>350</v>
      </c>
      <c r="B116" s="7" t="s">
        <v>350</v>
      </c>
      <c r="C116" s="7" t="s">
        <v>351</v>
      </c>
      <c r="D116" s="7" t="s">
        <v>581</v>
      </c>
      <c r="E116" s="7" t="s">
        <v>49</v>
      </c>
      <c r="F116" s="7" t="s">
        <v>608</v>
      </c>
      <c r="G116" s="7" t="s">
        <v>242</v>
      </c>
      <c r="H116" s="7" t="s">
        <v>583</v>
      </c>
      <c r="I116" s="7" t="s">
        <v>584</v>
      </c>
      <c r="J116" s="9">
        <v>0</v>
      </c>
      <c r="K116" s="9">
        <v>0</v>
      </c>
      <c r="L116" s="9">
        <v>0</v>
      </c>
      <c r="M116" s="11">
        <v>-28331.999991000001</v>
      </c>
      <c r="N116" s="7" t="s">
        <v>585</v>
      </c>
    </row>
    <row r="117" spans="1:14" ht="21" customHeight="1">
      <c r="A117" s="7" t="s">
        <v>249</v>
      </c>
      <c r="B117" s="7" t="s">
        <v>249</v>
      </c>
      <c r="C117" s="7" t="s">
        <v>249</v>
      </c>
      <c r="D117" s="7" t="s">
        <v>581</v>
      </c>
      <c r="E117" s="7" t="s">
        <v>50</v>
      </c>
      <c r="F117" s="7" t="s">
        <v>612</v>
      </c>
      <c r="G117" s="7" t="s">
        <v>250</v>
      </c>
      <c r="H117" s="7" t="s">
        <v>576</v>
      </c>
      <c r="I117" s="7" t="s">
        <v>584</v>
      </c>
      <c r="J117" s="9">
        <v>21573</v>
      </c>
      <c r="K117" s="9">
        <v>0</v>
      </c>
      <c r="L117" s="9">
        <v>0</v>
      </c>
      <c r="M117" s="11">
        <v>0</v>
      </c>
      <c r="N117" s="7" t="s">
        <v>585</v>
      </c>
    </row>
    <row r="118" spans="1:14" ht="21" customHeight="1">
      <c r="A118" s="7" t="s">
        <v>251</v>
      </c>
      <c r="B118" s="7" t="s">
        <v>251</v>
      </c>
      <c r="C118" s="7" t="s">
        <v>252</v>
      </c>
      <c r="D118" s="7" t="s">
        <v>581</v>
      </c>
      <c r="E118" s="7" t="s">
        <v>50</v>
      </c>
      <c r="F118" s="7" t="s">
        <v>612</v>
      </c>
      <c r="G118" s="7" t="s">
        <v>250</v>
      </c>
      <c r="H118" s="7" t="s">
        <v>576</v>
      </c>
      <c r="I118" s="7" t="s">
        <v>584</v>
      </c>
      <c r="J118" s="9">
        <v>56666</v>
      </c>
      <c r="K118" s="9">
        <v>26</v>
      </c>
      <c r="L118" s="9">
        <v>25</v>
      </c>
      <c r="M118" s="11">
        <v>0</v>
      </c>
      <c r="N118" s="7" t="s">
        <v>585</v>
      </c>
    </row>
    <row r="119" spans="1:14" ht="21" customHeight="1">
      <c r="A119" s="7" t="s">
        <v>253</v>
      </c>
      <c r="B119" s="7" t="s">
        <v>253</v>
      </c>
      <c r="C119" s="7" t="s">
        <v>254</v>
      </c>
      <c r="D119" s="7" t="s">
        <v>581</v>
      </c>
      <c r="E119" s="7" t="s">
        <v>50</v>
      </c>
      <c r="F119" s="7" t="s">
        <v>612</v>
      </c>
      <c r="G119" s="7" t="s">
        <v>250</v>
      </c>
      <c r="H119" s="7" t="s">
        <v>576</v>
      </c>
      <c r="I119" s="7" t="s">
        <v>584</v>
      </c>
      <c r="J119" s="9">
        <v>0</v>
      </c>
      <c r="K119" s="9">
        <v>1</v>
      </c>
      <c r="L119" s="9">
        <v>0</v>
      </c>
      <c r="M119" s="11">
        <v>0</v>
      </c>
      <c r="N119" s="7" t="s">
        <v>585</v>
      </c>
    </row>
    <row r="120" spans="1:14" ht="21" customHeight="1">
      <c r="A120" s="7" t="s">
        <v>255</v>
      </c>
      <c r="B120" s="7" t="s">
        <v>255</v>
      </c>
      <c r="C120" s="7" t="s">
        <v>362</v>
      </c>
      <c r="D120" s="7" t="s">
        <v>574</v>
      </c>
      <c r="E120" s="7" t="s">
        <v>50</v>
      </c>
      <c r="F120" s="7" t="s">
        <v>612</v>
      </c>
      <c r="G120" s="7" t="s">
        <v>250</v>
      </c>
      <c r="H120" s="7" t="s">
        <v>576</v>
      </c>
      <c r="I120" s="7" t="s">
        <v>584</v>
      </c>
      <c r="J120" s="9">
        <v>758</v>
      </c>
      <c r="K120" s="9">
        <v>1</v>
      </c>
      <c r="L120" s="9">
        <v>179</v>
      </c>
      <c r="M120" s="11">
        <v>0.89999499999999999</v>
      </c>
      <c r="N120" s="7" t="s">
        <v>585</v>
      </c>
    </row>
    <row r="121" spans="1:14" ht="21" customHeight="1">
      <c r="A121" s="7" t="s">
        <v>360</v>
      </c>
      <c r="B121" s="7" t="s">
        <v>360</v>
      </c>
      <c r="C121" s="7" t="s">
        <v>361</v>
      </c>
      <c r="D121" s="7" t="s">
        <v>581</v>
      </c>
      <c r="E121" s="7" t="s">
        <v>50</v>
      </c>
      <c r="F121" s="7" t="s">
        <v>612</v>
      </c>
      <c r="G121" s="7" t="s">
        <v>250</v>
      </c>
      <c r="H121" s="7" t="s">
        <v>576</v>
      </c>
      <c r="I121" s="7" t="s">
        <v>584</v>
      </c>
      <c r="J121" s="9">
        <v>0</v>
      </c>
      <c r="K121" s="9">
        <v>0</v>
      </c>
      <c r="L121" s="9">
        <v>0</v>
      </c>
      <c r="M121" s="11">
        <v>-350.695088</v>
      </c>
      <c r="N121" s="7" t="s">
        <v>585</v>
      </c>
    </row>
    <row r="122" spans="1:14" ht="21" customHeight="1">
      <c r="A122" s="7" t="s">
        <v>383</v>
      </c>
      <c r="B122" s="7" t="s">
        <v>383</v>
      </c>
      <c r="C122" s="7" t="s">
        <v>384</v>
      </c>
      <c r="D122" s="7" t="s">
        <v>581</v>
      </c>
      <c r="E122" s="7" t="s">
        <v>51</v>
      </c>
      <c r="F122" s="7" t="s">
        <v>613</v>
      </c>
      <c r="G122" s="7" t="s">
        <v>259</v>
      </c>
      <c r="H122" s="7" t="s">
        <v>583</v>
      </c>
      <c r="I122" s="7" t="s">
        <v>584</v>
      </c>
      <c r="J122" s="9">
        <v>0</v>
      </c>
      <c r="K122" s="9">
        <v>0</v>
      </c>
      <c r="L122" s="9">
        <v>0</v>
      </c>
      <c r="M122" s="11">
        <v>-838.38239999999996</v>
      </c>
      <c r="N122" s="7" t="s">
        <v>614</v>
      </c>
    </row>
    <row r="123" spans="1:14" ht="21" customHeight="1">
      <c r="A123" s="7" t="s">
        <v>371</v>
      </c>
      <c r="B123" s="7" t="s">
        <v>371</v>
      </c>
      <c r="C123" s="7" t="s">
        <v>372</v>
      </c>
      <c r="D123" s="7" t="s">
        <v>581</v>
      </c>
      <c r="E123" s="7" t="s">
        <v>51</v>
      </c>
      <c r="F123" s="7" t="s">
        <v>613</v>
      </c>
      <c r="G123" s="7" t="s">
        <v>259</v>
      </c>
      <c r="H123" s="7" t="s">
        <v>583</v>
      </c>
      <c r="I123" s="7" t="s">
        <v>584</v>
      </c>
      <c r="J123" s="9">
        <v>0</v>
      </c>
      <c r="K123" s="9">
        <v>0</v>
      </c>
      <c r="L123" s="9">
        <v>0</v>
      </c>
      <c r="M123" s="11">
        <v>-1285.7499989999999</v>
      </c>
      <c r="N123" s="7" t="s">
        <v>614</v>
      </c>
    </row>
    <row r="124" spans="1:14" ht="21" customHeight="1">
      <c r="A124" s="7" t="s">
        <v>389</v>
      </c>
      <c r="B124" s="7" t="s">
        <v>389</v>
      </c>
      <c r="C124" s="7" t="s">
        <v>390</v>
      </c>
      <c r="D124" s="7" t="s">
        <v>581</v>
      </c>
      <c r="E124" s="7" t="s">
        <v>51</v>
      </c>
      <c r="F124" s="7" t="s">
        <v>613</v>
      </c>
      <c r="G124" s="7" t="s">
        <v>259</v>
      </c>
      <c r="H124" s="7" t="s">
        <v>583</v>
      </c>
      <c r="I124" s="7" t="s">
        <v>584</v>
      </c>
      <c r="J124" s="9">
        <v>0</v>
      </c>
      <c r="K124" s="9">
        <v>0</v>
      </c>
      <c r="L124" s="9">
        <v>0</v>
      </c>
      <c r="M124" s="11">
        <v>-679.999999</v>
      </c>
      <c r="N124" s="7" t="s">
        <v>614</v>
      </c>
    </row>
    <row r="125" spans="1:14" ht="21" customHeight="1">
      <c r="A125" s="7" t="s">
        <v>410</v>
      </c>
      <c r="B125" s="7" t="s">
        <v>410</v>
      </c>
      <c r="C125" s="7" t="s">
        <v>411</v>
      </c>
      <c r="D125" s="7" t="s">
        <v>581</v>
      </c>
      <c r="E125" s="7" t="s">
        <v>51</v>
      </c>
      <c r="F125" s="7" t="s">
        <v>613</v>
      </c>
      <c r="G125" s="7" t="s">
        <v>259</v>
      </c>
      <c r="H125" s="7" t="s">
        <v>583</v>
      </c>
      <c r="I125" s="7" t="s">
        <v>584</v>
      </c>
      <c r="J125" s="9">
        <v>0</v>
      </c>
      <c r="K125" s="9">
        <v>0</v>
      </c>
      <c r="L125" s="9">
        <v>0</v>
      </c>
      <c r="M125" s="11">
        <v>-149.500001</v>
      </c>
      <c r="N125" s="7" t="s">
        <v>614</v>
      </c>
    </row>
    <row r="126" spans="1:14" ht="21" customHeight="1">
      <c r="A126" s="7" t="s">
        <v>373</v>
      </c>
      <c r="B126" s="7" t="s">
        <v>373</v>
      </c>
      <c r="C126" s="7" t="s">
        <v>374</v>
      </c>
      <c r="D126" s="7" t="s">
        <v>581</v>
      </c>
      <c r="E126" s="7" t="s">
        <v>51</v>
      </c>
      <c r="F126" s="7" t="s">
        <v>613</v>
      </c>
      <c r="G126" s="7" t="s">
        <v>259</v>
      </c>
      <c r="H126" s="7" t="s">
        <v>583</v>
      </c>
      <c r="I126" s="7" t="s">
        <v>584</v>
      </c>
      <c r="J126" s="9">
        <v>0</v>
      </c>
      <c r="K126" s="9">
        <v>0</v>
      </c>
      <c r="L126" s="9">
        <v>0</v>
      </c>
      <c r="M126" s="11">
        <v>-1148.9999969999999</v>
      </c>
      <c r="N126" s="7" t="s">
        <v>614</v>
      </c>
    </row>
    <row r="127" spans="1:14" ht="21" customHeight="1">
      <c r="A127" s="7" t="s">
        <v>404</v>
      </c>
      <c r="B127" s="7" t="s">
        <v>404</v>
      </c>
      <c r="C127" s="7" t="s">
        <v>405</v>
      </c>
      <c r="D127" s="7" t="s">
        <v>581</v>
      </c>
      <c r="E127" s="7" t="s">
        <v>51</v>
      </c>
      <c r="F127" s="7" t="s">
        <v>613</v>
      </c>
      <c r="G127" s="7" t="s">
        <v>259</v>
      </c>
      <c r="H127" s="7" t="s">
        <v>583</v>
      </c>
      <c r="I127" s="7" t="s">
        <v>584</v>
      </c>
      <c r="J127" s="9">
        <v>0</v>
      </c>
      <c r="K127" s="9">
        <v>0</v>
      </c>
      <c r="L127" s="9">
        <v>0</v>
      </c>
      <c r="M127" s="11">
        <v>-195.49999800000001</v>
      </c>
      <c r="N127" s="7" t="s">
        <v>614</v>
      </c>
    </row>
    <row r="128" spans="1:14" ht="21" customHeight="1">
      <c r="A128" s="7" t="s">
        <v>375</v>
      </c>
      <c r="B128" s="7" t="s">
        <v>375</v>
      </c>
      <c r="C128" s="7" t="s">
        <v>376</v>
      </c>
      <c r="D128" s="7" t="s">
        <v>581</v>
      </c>
      <c r="E128" s="7" t="s">
        <v>51</v>
      </c>
      <c r="F128" s="7" t="s">
        <v>613</v>
      </c>
      <c r="G128" s="7" t="s">
        <v>259</v>
      </c>
      <c r="H128" s="7" t="s">
        <v>583</v>
      </c>
      <c r="I128" s="7" t="s">
        <v>584</v>
      </c>
      <c r="J128" s="9">
        <v>0</v>
      </c>
      <c r="K128" s="9">
        <v>0</v>
      </c>
      <c r="L128" s="9">
        <v>0</v>
      </c>
      <c r="M128" s="11">
        <v>-990.93672400000003</v>
      </c>
      <c r="N128" s="7" t="s">
        <v>614</v>
      </c>
    </row>
    <row r="129" spans="1:14" ht="21" customHeight="1">
      <c r="A129" s="7" t="s">
        <v>393</v>
      </c>
      <c r="B129" s="7" t="s">
        <v>393</v>
      </c>
      <c r="C129" s="7" t="s">
        <v>394</v>
      </c>
      <c r="D129" s="7" t="s">
        <v>581</v>
      </c>
      <c r="E129" s="7" t="s">
        <v>51</v>
      </c>
      <c r="F129" s="7" t="s">
        <v>613</v>
      </c>
      <c r="G129" s="7" t="s">
        <v>259</v>
      </c>
      <c r="H129" s="7" t="s">
        <v>583</v>
      </c>
      <c r="I129" s="7" t="s">
        <v>584</v>
      </c>
      <c r="J129" s="9">
        <v>0</v>
      </c>
      <c r="K129" s="9">
        <v>0</v>
      </c>
      <c r="L129" s="9">
        <v>0</v>
      </c>
      <c r="M129" s="11">
        <v>-580</v>
      </c>
      <c r="N129" s="7" t="s">
        <v>614</v>
      </c>
    </row>
    <row r="130" spans="1:14" ht="21" customHeight="1">
      <c r="A130" s="7" t="s">
        <v>414</v>
      </c>
      <c r="B130" s="7" t="s">
        <v>414</v>
      </c>
      <c r="C130" s="7" t="s">
        <v>415</v>
      </c>
      <c r="D130" s="7" t="s">
        <v>581</v>
      </c>
      <c r="E130" s="7" t="s">
        <v>51</v>
      </c>
      <c r="F130" s="7" t="s">
        <v>613</v>
      </c>
      <c r="G130" s="7" t="s">
        <v>259</v>
      </c>
      <c r="H130" s="7" t="s">
        <v>583</v>
      </c>
      <c r="I130" s="7" t="s">
        <v>584</v>
      </c>
      <c r="J130" s="9">
        <v>0</v>
      </c>
      <c r="K130" s="9">
        <v>0</v>
      </c>
      <c r="L130" s="9">
        <v>0</v>
      </c>
      <c r="M130" s="11">
        <v>-107.15683</v>
      </c>
      <c r="N130" s="7" t="s">
        <v>614</v>
      </c>
    </row>
    <row r="131" spans="1:14" ht="21" customHeight="1">
      <c r="A131" s="7" t="s">
        <v>412</v>
      </c>
      <c r="B131" s="7" t="s">
        <v>412</v>
      </c>
      <c r="C131" s="7" t="s">
        <v>413</v>
      </c>
      <c r="D131" s="7" t="s">
        <v>581</v>
      </c>
      <c r="E131" s="7" t="s">
        <v>51</v>
      </c>
      <c r="F131" s="7" t="s">
        <v>613</v>
      </c>
      <c r="G131" s="7" t="s">
        <v>259</v>
      </c>
      <c r="H131" s="7" t="s">
        <v>583</v>
      </c>
      <c r="I131" s="7" t="s">
        <v>584</v>
      </c>
      <c r="J131" s="9">
        <v>0</v>
      </c>
      <c r="K131" s="9">
        <v>0</v>
      </c>
      <c r="L131" s="9">
        <v>0</v>
      </c>
      <c r="M131" s="11">
        <v>-124.500001</v>
      </c>
      <c r="N131" s="7" t="s">
        <v>614</v>
      </c>
    </row>
    <row r="132" spans="1:14" ht="21" customHeight="1">
      <c r="A132" s="7" t="s">
        <v>367</v>
      </c>
      <c r="B132" s="7" t="s">
        <v>367</v>
      </c>
      <c r="C132" s="7" t="s">
        <v>368</v>
      </c>
      <c r="D132" s="7" t="s">
        <v>581</v>
      </c>
      <c r="E132" s="7" t="s">
        <v>51</v>
      </c>
      <c r="F132" s="7" t="s">
        <v>613</v>
      </c>
      <c r="G132" s="7" t="s">
        <v>259</v>
      </c>
      <c r="H132" s="7" t="s">
        <v>583</v>
      </c>
      <c r="I132" s="7" t="s">
        <v>584</v>
      </c>
      <c r="J132" s="9">
        <v>0</v>
      </c>
      <c r="K132" s="9">
        <v>0</v>
      </c>
      <c r="L132" s="9">
        <v>0</v>
      </c>
      <c r="M132" s="11">
        <v>-1614.9999989999999</v>
      </c>
      <c r="N132" s="7" t="s">
        <v>614</v>
      </c>
    </row>
    <row r="133" spans="1:14" ht="21" customHeight="1">
      <c r="A133" s="7" t="s">
        <v>401</v>
      </c>
      <c r="B133" s="7" t="s">
        <v>401</v>
      </c>
      <c r="C133" s="7" t="s">
        <v>402</v>
      </c>
      <c r="D133" s="7" t="s">
        <v>581</v>
      </c>
      <c r="E133" s="7" t="s">
        <v>51</v>
      </c>
      <c r="F133" s="7" t="s">
        <v>613</v>
      </c>
      <c r="G133" s="7" t="s">
        <v>259</v>
      </c>
      <c r="H133" s="7" t="s">
        <v>583</v>
      </c>
      <c r="I133" s="7" t="s">
        <v>584</v>
      </c>
      <c r="J133" s="9">
        <v>0</v>
      </c>
      <c r="K133" s="9">
        <v>0</v>
      </c>
      <c r="L133" s="9">
        <v>0</v>
      </c>
      <c r="M133" s="11">
        <v>-344.99999800000001</v>
      </c>
      <c r="N133" s="7" t="s">
        <v>614</v>
      </c>
    </row>
    <row r="134" spans="1:14" ht="21" customHeight="1">
      <c r="A134" s="7" t="s">
        <v>408</v>
      </c>
      <c r="B134" s="7" t="s">
        <v>408</v>
      </c>
      <c r="C134" s="7" t="s">
        <v>409</v>
      </c>
      <c r="D134" s="7" t="s">
        <v>581</v>
      </c>
      <c r="E134" s="7" t="s">
        <v>51</v>
      </c>
      <c r="F134" s="7" t="s">
        <v>613</v>
      </c>
      <c r="G134" s="7" t="s">
        <v>259</v>
      </c>
      <c r="H134" s="7" t="s">
        <v>583</v>
      </c>
      <c r="I134" s="7" t="s">
        <v>584</v>
      </c>
      <c r="J134" s="9">
        <v>0</v>
      </c>
      <c r="K134" s="9">
        <v>0</v>
      </c>
      <c r="L134" s="9">
        <v>0</v>
      </c>
      <c r="M134" s="11">
        <v>-173.999999</v>
      </c>
      <c r="N134" s="7" t="s">
        <v>614</v>
      </c>
    </row>
    <row r="135" spans="1:14" ht="21" customHeight="1">
      <c r="A135" s="7" t="s">
        <v>395</v>
      </c>
      <c r="B135" s="7" t="s">
        <v>395</v>
      </c>
      <c r="C135" s="7" t="s">
        <v>396</v>
      </c>
      <c r="D135" s="7" t="s">
        <v>581</v>
      </c>
      <c r="E135" s="7" t="s">
        <v>51</v>
      </c>
      <c r="F135" s="7" t="s">
        <v>613</v>
      </c>
      <c r="G135" s="7" t="s">
        <v>259</v>
      </c>
      <c r="H135" s="7" t="s">
        <v>583</v>
      </c>
      <c r="I135" s="7" t="s">
        <v>584</v>
      </c>
      <c r="J135" s="9">
        <v>0</v>
      </c>
      <c r="K135" s="9">
        <v>0</v>
      </c>
      <c r="L135" s="9">
        <v>0</v>
      </c>
      <c r="M135" s="11">
        <v>-575</v>
      </c>
      <c r="N135" s="7" t="s">
        <v>614</v>
      </c>
    </row>
    <row r="136" spans="1:14" ht="21" customHeight="1">
      <c r="A136" s="7" t="s">
        <v>399</v>
      </c>
      <c r="B136" s="7" t="s">
        <v>399</v>
      </c>
      <c r="C136" s="7" t="s">
        <v>556</v>
      </c>
      <c r="D136" s="7" t="s">
        <v>574</v>
      </c>
      <c r="E136" s="7" t="s">
        <v>51</v>
      </c>
      <c r="F136" s="7" t="s">
        <v>613</v>
      </c>
      <c r="G136" s="7" t="s">
        <v>259</v>
      </c>
      <c r="H136" s="7" t="s">
        <v>583</v>
      </c>
      <c r="I136" s="7" t="s">
        <v>584</v>
      </c>
      <c r="J136" s="9">
        <v>4</v>
      </c>
      <c r="K136" s="9">
        <v>0</v>
      </c>
      <c r="L136" s="9">
        <v>0</v>
      </c>
      <c r="M136" s="11">
        <v>-424.99999400000002</v>
      </c>
      <c r="N136" s="7" t="s">
        <v>614</v>
      </c>
    </row>
    <row r="137" spans="1:14" ht="21" customHeight="1">
      <c r="A137" s="7" t="s">
        <v>397</v>
      </c>
      <c r="B137" s="7" t="s">
        <v>397</v>
      </c>
      <c r="C137" s="7" t="s">
        <v>398</v>
      </c>
      <c r="D137" s="7" t="s">
        <v>581</v>
      </c>
      <c r="E137" s="7" t="s">
        <v>51</v>
      </c>
      <c r="F137" s="7" t="s">
        <v>613</v>
      </c>
      <c r="G137" s="7" t="s">
        <v>259</v>
      </c>
      <c r="H137" s="7" t="s">
        <v>583</v>
      </c>
      <c r="I137" s="7" t="s">
        <v>584</v>
      </c>
      <c r="J137" s="9">
        <v>0</v>
      </c>
      <c r="K137" s="9">
        <v>0</v>
      </c>
      <c r="L137" s="9">
        <v>0</v>
      </c>
      <c r="M137" s="11">
        <v>-460.00000299999999</v>
      </c>
      <c r="N137" s="7" t="s">
        <v>614</v>
      </c>
    </row>
    <row r="138" spans="1:14" ht="21" customHeight="1">
      <c r="A138" s="7" t="s">
        <v>406</v>
      </c>
      <c r="B138" s="7" t="s">
        <v>406</v>
      </c>
      <c r="C138" s="7" t="s">
        <v>407</v>
      </c>
      <c r="D138" s="7" t="s">
        <v>581</v>
      </c>
      <c r="E138" s="7" t="s">
        <v>51</v>
      </c>
      <c r="F138" s="7" t="s">
        <v>613</v>
      </c>
      <c r="G138" s="7" t="s">
        <v>259</v>
      </c>
      <c r="H138" s="7" t="s">
        <v>583</v>
      </c>
      <c r="I138" s="7" t="s">
        <v>584</v>
      </c>
      <c r="J138" s="9">
        <v>0</v>
      </c>
      <c r="K138" s="9">
        <v>0</v>
      </c>
      <c r="L138" s="9">
        <v>0</v>
      </c>
      <c r="M138" s="11">
        <v>-195</v>
      </c>
      <c r="N138" s="7" t="s">
        <v>614</v>
      </c>
    </row>
    <row r="139" spans="1:14" ht="21" customHeight="1">
      <c r="A139" s="7" t="s">
        <v>391</v>
      </c>
      <c r="B139" s="7" t="s">
        <v>391</v>
      </c>
      <c r="C139" s="7" t="s">
        <v>392</v>
      </c>
      <c r="D139" s="7" t="s">
        <v>581</v>
      </c>
      <c r="E139" s="7" t="s">
        <v>51</v>
      </c>
      <c r="F139" s="7" t="s">
        <v>613</v>
      </c>
      <c r="G139" s="7" t="s">
        <v>259</v>
      </c>
      <c r="H139" s="7" t="s">
        <v>583</v>
      </c>
      <c r="I139" s="7" t="s">
        <v>584</v>
      </c>
      <c r="J139" s="9">
        <v>0</v>
      </c>
      <c r="K139" s="9">
        <v>0</v>
      </c>
      <c r="L139" s="9">
        <v>0</v>
      </c>
      <c r="M139" s="11">
        <v>-622.69999499999994</v>
      </c>
      <c r="N139" s="7" t="s">
        <v>614</v>
      </c>
    </row>
    <row r="140" spans="1:14" ht="21" customHeight="1">
      <c r="A140" s="7" t="s">
        <v>381</v>
      </c>
      <c r="B140" s="7" t="s">
        <v>381</v>
      </c>
      <c r="C140" s="7" t="s">
        <v>382</v>
      </c>
      <c r="D140" s="7" t="s">
        <v>581</v>
      </c>
      <c r="E140" s="7" t="s">
        <v>51</v>
      </c>
      <c r="F140" s="7" t="s">
        <v>613</v>
      </c>
      <c r="G140" s="7" t="s">
        <v>259</v>
      </c>
      <c r="H140" s="7" t="s">
        <v>583</v>
      </c>
      <c r="I140" s="7" t="s">
        <v>584</v>
      </c>
      <c r="J140" s="9">
        <v>0</v>
      </c>
      <c r="K140" s="9">
        <v>0</v>
      </c>
      <c r="L140" s="9">
        <v>0</v>
      </c>
      <c r="M140" s="11">
        <v>-900.00000299999999</v>
      </c>
      <c r="N140" s="7" t="s">
        <v>614</v>
      </c>
    </row>
    <row r="141" spans="1:14" ht="21" customHeight="1">
      <c r="A141" s="7" t="s">
        <v>257</v>
      </c>
      <c r="B141" s="7" t="s">
        <v>257</v>
      </c>
      <c r="C141" s="7" t="s">
        <v>471</v>
      </c>
      <c r="D141" s="7" t="s">
        <v>574</v>
      </c>
      <c r="E141" s="7" t="s">
        <v>51</v>
      </c>
      <c r="F141" s="7" t="s">
        <v>613</v>
      </c>
      <c r="G141" s="7" t="s">
        <v>259</v>
      </c>
      <c r="H141" s="7" t="s">
        <v>583</v>
      </c>
      <c r="I141" s="7" t="s">
        <v>584</v>
      </c>
      <c r="J141" s="9">
        <v>617</v>
      </c>
      <c r="K141" s="9">
        <v>4</v>
      </c>
      <c r="L141" s="9">
        <v>0</v>
      </c>
      <c r="M141" s="11">
        <v>-343.462288</v>
      </c>
      <c r="N141" s="7" t="s">
        <v>614</v>
      </c>
    </row>
    <row r="142" spans="1:14" ht="21" customHeight="1">
      <c r="A142" s="7" t="s">
        <v>377</v>
      </c>
      <c r="B142" s="7" t="s">
        <v>377</v>
      </c>
      <c r="C142" s="7" t="s">
        <v>378</v>
      </c>
      <c r="D142" s="7" t="s">
        <v>581</v>
      </c>
      <c r="E142" s="7" t="s">
        <v>51</v>
      </c>
      <c r="F142" s="7" t="s">
        <v>613</v>
      </c>
      <c r="G142" s="7" t="s">
        <v>259</v>
      </c>
      <c r="H142" s="7" t="s">
        <v>583</v>
      </c>
      <c r="I142" s="7" t="s">
        <v>584</v>
      </c>
      <c r="J142" s="9">
        <v>0</v>
      </c>
      <c r="K142" s="9">
        <v>0</v>
      </c>
      <c r="L142" s="9">
        <v>0</v>
      </c>
      <c r="M142" s="11">
        <v>-981.193715</v>
      </c>
      <c r="N142" s="7" t="s">
        <v>614</v>
      </c>
    </row>
    <row r="143" spans="1:14" ht="21" customHeight="1">
      <c r="A143" s="7" t="s">
        <v>385</v>
      </c>
      <c r="B143" s="7" t="s">
        <v>385</v>
      </c>
      <c r="C143" s="7" t="s">
        <v>386</v>
      </c>
      <c r="D143" s="7" t="s">
        <v>581</v>
      </c>
      <c r="E143" s="7" t="s">
        <v>51</v>
      </c>
      <c r="F143" s="7" t="s">
        <v>613</v>
      </c>
      <c r="G143" s="7" t="s">
        <v>259</v>
      </c>
      <c r="H143" s="7" t="s">
        <v>583</v>
      </c>
      <c r="I143" s="7" t="s">
        <v>584</v>
      </c>
      <c r="J143" s="9">
        <v>0</v>
      </c>
      <c r="K143" s="9">
        <v>0</v>
      </c>
      <c r="L143" s="9">
        <v>0</v>
      </c>
      <c r="M143" s="11">
        <v>-740</v>
      </c>
      <c r="N143" s="7" t="s">
        <v>614</v>
      </c>
    </row>
    <row r="144" spans="1:14" ht="21" customHeight="1">
      <c r="A144" s="7" t="s">
        <v>379</v>
      </c>
      <c r="B144" s="7" t="s">
        <v>379</v>
      </c>
      <c r="C144" s="7" t="s">
        <v>380</v>
      </c>
      <c r="D144" s="7" t="s">
        <v>581</v>
      </c>
      <c r="E144" s="7" t="s">
        <v>51</v>
      </c>
      <c r="F144" s="7" t="s">
        <v>613</v>
      </c>
      <c r="G144" s="7" t="s">
        <v>259</v>
      </c>
      <c r="H144" s="7" t="s">
        <v>583</v>
      </c>
      <c r="I144" s="7" t="s">
        <v>584</v>
      </c>
      <c r="J144" s="9">
        <v>0</v>
      </c>
      <c r="K144" s="9">
        <v>0</v>
      </c>
      <c r="L144" s="9">
        <v>0</v>
      </c>
      <c r="M144" s="11">
        <v>-942.49999600000001</v>
      </c>
      <c r="N144" s="7" t="s">
        <v>614</v>
      </c>
    </row>
    <row r="145" spans="1:14" ht="21" customHeight="1">
      <c r="A145" s="7" t="s">
        <v>369</v>
      </c>
      <c r="B145" s="7" t="s">
        <v>369</v>
      </c>
      <c r="C145" s="7" t="s">
        <v>370</v>
      </c>
      <c r="D145" s="7" t="s">
        <v>581</v>
      </c>
      <c r="E145" s="7" t="s">
        <v>51</v>
      </c>
      <c r="F145" s="7" t="s">
        <v>613</v>
      </c>
      <c r="G145" s="7" t="s">
        <v>259</v>
      </c>
      <c r="H145" s="7" t="s">
        <v>583</v>
      </c>
      <c r="I145" s="7" t="s">
        <v>584</v>
      </c>
      <c r="J145" s="9">
        <v>0</v>
      </c>
      <c r="K145" s="9">
        <v>0</v>
      </c>
      <c r="L145" s="9">
        <v>0</v>
      </c>
      <c r="M145" s="11">
        <v>-1400</v>
      </c>
      <c r="N145" s="7" t="s">
        <v>614</v>
      </c>
    </row>
    <row r="146" spans="1:14" ht="21" customHeight="1">
      <c r="A146" s="7" t="s">
        <v>365</v>
      </c>
      <c r="B146" s="7" t="s">
        <v>365</v>
      </c>
      <c r="C146" s="7" t="s">
        <v>366</v>
      </c>
      <c r="D146" s="7" t="s">
        <v>581</v>
      </c>
      <c r="E146" s="7" t="s">
        <v>51</v>
      </c>
      <c r="F146" s="7" t="s">
        <v>613</v>
      </c>
      <c r="G146" s="7" t="s">
        <v>259</v>
      </c>
      <c r="H146" s="7" t="s">
        <v>583</v>
      </c>
      <c r="I146" s="7" t="s">
        <v>584</v>
      </c>
      <c r="J146" s="9">
        <v>0</v>
      </c>
      <c r="K146" s="9">
        <v>0</v>
      </c>
      <c r="L146" s="9">
        <v>0</v>
      </c>
      <c r="M146" s="11">
        <v>-1714.9818789999999</v>
      </c>
      <c r="N146" s="7" t="s">
        <v>614</v>
      </c>
    </row>
    <row r="147" spans="1:14" ht="21" customHeight="1">
      <c r="A147" s="7" t="s">
        <v>387</v>
      </c>
      <c r="B147" s="7" t="s">
        <v>387</v>
      </c>
      <c r="C147" s="7" t="s">
        <v>388</v>
      </c>
      <c r="D147" s="7" t="s">
        <v>581</v>
      </c>
      <c r="E147" s="7" t="s">
        <v>51</v>
      </c>
      <c r="F147" s="7" t="s">
        <v>613</v>
      </c>
      <c r="G147" s="7" t="s">
        <v>259</v>
      </c>
      <c r="H147" s="7" t="s">
        <v>583</v>
      </c>
      <c r="I147" s="7" t="s">
        <v>584</v>
      </c>
      <c r="J147" s="9">
        <v>0</v>
      </c>
      <c r="K147" s="9">
        <v>0</v>
      </c>
      <c r="L147" s="9">
        <v>0</v>
      </c>
      <c r="M147" s="11">
        <v>-685.500001</v>
      </c>
      <c r="N147" s="7" t="s">
        <v>614</v>
      </c>
    </row>
    <row r="148" spans="1:14" ht="21" customHeight="1">
      <c r="A148" s="7" t="s">
        <v>363</v>
      </c>
      <c r="B148" s="7" t="s">
        <v>363</v>
      </c>
      <c r="C148" s="7" t="s">
        <v>364</v>
      </c>
      <c r="D148" s="7" t="s">
        <v>581</v>
      </c>
      <c r="E148" s="7" t="s">
        <v>51</v>
      </c>
      <c r="F148" s="7" t="s">
        <v>613</v>
      </c>
      <c r="G148" s="7" t="s">
        <v>259</v>
      </c>
      <c r="H148" s="7" t="s">
        <v>583</v>
      </c>
      <c r="I148" s="7" t="s">
        <v>584</v>
      </c>
      <c r="J148" s="9">
        <v>0</v>
      </c>
      <c r="K148" s="9">
        <v>0</v>
      </c>
      <c r="L148" s="9">
        <v>0</v>
      </c>
      <c r="M148" s="11">
        <v>-2433.88</v>
      </c>
      <c r="N148" s="7" t="s">
        <v>614</v>
      </c>
    </row>
    <row r="149" spans="1:14" ht="21" customHeight="1">
      <c r="A149" s="7" t="s">
        <v>416</v>
      </c>
      <c r="B149" s="7" t="s">
        <v>416</v>
      </c>
      <c r="C149" s="7" t="s">
        <v>530</v>
      </c>
      <c r="D149" s="7" t="s">
        <v>574</v>
      </c>
      <c r="E149" s="7" t="s">
        <v>52</v>
      </c>
      <c r="F149" s="7" t="s">
        <v>615</v>
      </c>
      <c r="G149" s="7" t="s">
        <v>262</v>
      </c>
      <c r="H149" s="7" t="s">
        <v>616</v>
      </c>
      <c r="I149" s="7" t="s">
        <v>584</v>
      </c>
      <c r="J149" s="9">
        <v>26</v>
      </c>
      <c r="K149" s="9">
        <v>0</v>
      </c>
      <c r="L149" s="9">
        <v>0</v>
      </c>
      <c r="M149" s="11">
        <v>0</v>
      </c>
      <c r="N149" s="7" t="s">
        <v>614</v>
      </c>
    </row>
    <row r="150" spans="1:14" ht="21" customHeight="1">
      <c r="A150" s="7" t="s">
        <v>260</v>
      </c>
      <c r="B150" s="7" t="s">
        <v>260</v>
      </c>
      <c r="C150" s="7" t="s">
        <v>417</v>
      </c>
      <c r="D150" s="7" t="s">
        <v>574</v>
      </c>
      <c r="E150" s="7" t="s">
        <v>52</v>
      </c>
      <c r="F150" s="7" t="s">
        <v>615</v>
      </c>
      <c r="G150" s="7" t="s">
        <v>262</v>
      </c>
      <c r="H150" s="7" t="s">
        <v>616</v>
      </c>
      <c r="I150" s="7" t="s">
        <v>584</v>
      </c>
      <c r="J150" s="9">
        <v>20005</v>
      </c>
      <c r="K150" s="9">
        <v>408</v>
      </c>
      <c r="L150" s="9">
        <v>0</v>
      </c>
      <c r="M150" s="11">
        <v>0</v>
      </c>
      <c r="N150" s="7" t="s">
        <v>614</v>
      </c>
    </row>
    <row r="151" spans="1:14" ht="21" customHeight="1">
      <c r="A151" s="7" t="s">
        <v>263</v>
      </c>
      <c r="B151" s="7" t="s">
        <v>263</v>
      </c>
      <c r="C151" s="7" t="s">
        <v>418</v>
      </c>
      <c r="D151" s="7" t="s">
        <v>574</v>
      </c>
      <c r="E151" s="7" t="s">
        <v>52</v>
      </c>
      <c r="F151" s="7" t="s">
        <v>615</v>
      </c>
      <c r="G151" s="7" t="s">
        <v>262</v>
      </c>
      <c r="H151" s="7" t="s">
        <v>616</v>
      </c>
      <c r="I151" s="7" t="s">
        <v>584</v>
      </c>
      <c r="J151" s="9">
        <v>12584</v>
      </c>
      <c r="K151" s="9">
        <v>258</v>
      </c>
      <c r="L151" s="9">
        <v>0</v>
      </c>
      <c r="M151" s="11">
        <v>0</v>
      </c>
      <c r="N151" s="7" t="s">
        <v>614</v>
      </c>
    </row>
    <row r="152" spans="1:14" ht="21" customHeight="1">
      <c r="A152" s="7" t="s">
        <v>265</v>
      </c>
      <c r="B152" s="7" t="s">
        <v>265</v>
      </c>
      <c r="C152" s="7" t="s">
        <v>419</v>
      </c>
      <c r="D152" s="7" t="s">
        <v>574</v>
      </c>
      <c r="E152" s="7" t="s">
        <v>52</v>
      </c>
      <c r="F152" s="7" t="s">
        <v>615</v>
      </c>
      <c r="G152" s="7" t="s">
        <v>262</v>
      </c>
      <c r="H152" s="7" t="s">
        <v>616</v>
      </c>
      <c r="I152" s="7" t="s">
        <v>584</v>
      </c>
      <c r="J152" s="9">
        <v>3756</v>
      </c>
      <c r="K152" s="9">
        <v>134</v>
      </c>
      <c r="L152" s="9">
        <v>0</v>
      </c>
      <c r="M152" s="11">
        <v>0</v>
      </c>
      <c r="N152" s="7" t="s">
        <v>614</v>
      </c>
    </row>
    <row r="153" spans="1:14" ht="21" customHeight="1">
      <c r="A153" s="7" t="s">
        <v>267</v>
      </c>
      <c r="B153" s="7" t="s">
        <v>267</v>
      </c>
      <c r="C153" s="7" t="s">
        <v>420</v>
      </c>
      <c r="D153" s="7" t="s">
        <v>574</v>
      </c>
      <c r="E153" s="7" t="s">
        <v>52</v>
      </c>
      <c r="F153" s="7" t="s">
        <v>615</v>
      </c>
      <c r="G153" s="7" t="s">
        <v>262</v>
      </c>
      <c r="H153" s="7" t="s">
        <v>616</v>
      </c>
      <c r="I153" s="7" t="s">
        <v>584</v>
      </c>
      <c r="J153" s="9">
        <v>129</v>
      </c>
      <c r="K153" s="9">
        <v>0</v>
      </c>
      <c r="L153" s="9">
        <v>0</v>
      </c>
      <c r="M153" s="11">
        <v>0</v>
      </c>
      <c r="N153" s="7" t="s">
        <v>614</v>
      </c>
    </row>
    <row r="154" spans="1:14" ht="21" customHeight="1">
      <c r="A154" s="7" t="s">
        <v>531</v>
      </c>
      <c r="B154" s="7" t="s">
        <v>531</v>
      </c>
      <c r="C154" s="7" t="s">
        <v>532</v>
      </c>
      <c r="D154" s="7" t="s">
        <v>581</v>
      </c>
      <c r="E154" s="7" t="s">
        <v>52</v>
      </c>
      <c r="F154" s="7" t="s">
        <v>615</v>
      </c>
      <c r="G154" s="7" t="s">
        <v>262</v>
      </c>
      <c r="H154" s="7" t="s">
        <v>616</v>
      </c>
      <c r="I154" s="7" t="s">
        <v>584</v>
      </c>
      <c r="J154" s="9">
        <v>8</v>
      </c>
      <c r="K154" s="9">
        <v>0</v>
      </c>
      <c r="L154" s="9">
        <v>0</v>
      </c>
      <c r="M154" s="11">
        <v>0</v>
      </c>
      <c r="N154" s="7" t="s">
        <v>614</v>
      </c>
    </row>
    <row r="155" spans="1:14" ht="21" customHeight="1">
      <c r="A155" s="7" t="s">
        <v>268</v>
      </c>
      <c r="B155" s="7" t="s">
        <v>268</v>
      </c>
      <c r="C155" s="7" t="s">
        <v>514</v>
      </c>
      <c r="D155" s="7" t="s">
        <v>574</v>
      </c>
      <c r="E155" s="7" t="s">
        <v>52</v>
      </c>
      <c r="F155" s="7" t="s">
        <v>615</v>
      </c>
      <c r="G155" s="7" t="s">
        <v>262</v>
      </c>
      <c r="H155" s="7" t="s">
        <v>616</v>
      </c>
      <c r="I155" s="7" t="s">
        <v>584</v>
      </c>
      <c r="J155" s="9">
        <v>161</v>
      </c>
      <c r="K155" s="9">
        <v>0</v>
      </c>
      <c r="L155" s="9">
        <v>0</v>
      </c>
      <c r="M155" s="11">
        <v>0</v>
      </c>
      <c r="N155" s="7" t="s">
        <v>614</v>
      </c>
    </row>
    <row r="156" spans="1:14" ht="21" customHeight="1">
      <c r="A156" s="7" t="s">
        <v>269</v>
      </c>
      <c r="B156" s="7" t="s">
        <v>269</v>
      </c>
      <c r="C156" s="7" t="s">
        <v>421</v>
      </c>
      <c r="D156" s="7" t="s">
        <v>574</v>
      </c>
      <c r="E156" s="7" t="s">
        <v>52</v>
      </c>
      <c r="F156" s="7" t="s">
        <v>615</v>
      </c>
      <c r="G156" s="7" t="s">
        <v>262</v>
      </c>
      <c r="H156" s="7" t="s">
        <v>616</v>
      </c>
      <c r="I156" s="7" t="s">
        <v>584</v>
      </c>
      <c r="J156" s="9">
        <v>1219</v>
      </c>
      <c r="K156" s="9">
        <v>0</v>
      </c>
      <c r="L156" s="9">
        <v>0</v>
      </c>
      <c r="M156" s="11">
        <v>0</v>
      </c>
      <c r="N156" s="7" t="s">
        <v>614</v>
      </c>
    </row>
    <row r="157" spans="1:14" ht="21" customHeight="1">
      <c r="A157" s="7" t="s">
        <v>271</v>
      </c>
      <c r="B157" s="7" t="s">
        <v>271</v>
      </c>
      <c r="C157" s="7" t="s">
        <v>617</v>
      </c>
      <c r="D157" s="7" t="s">
        <v>574</v>
      </c>
      <c r="E157" s="7" t="s">
        <v>52</v>
      </c>
      <c r="F157" s="7" t="s">
        <v>615</v>
      </c>
      <c r="G157" s="7" t="s">
        <v>262</v>
      </c>
      <c r="H157" s="7" t="s">
        <v>616</v>
      </c>
      <c r="I157" s="7" t="s">
        <v>584</v>
      </c>
      <c r="J157" s="9">
        <v>755</v>
      </c>
      <c r="K157" s="9">
        <v>1</v>
      </c>
      <c r="L157" s="9">
        <v>0</v>
      </c>
      <c r="M157" s="11">
        <v>0</v>
      </c>
      <c r="N157" s="7" t="s">
        <v>614</v>
      </c>
    </row>
    <row r="158" spans="1:14" ht="21" customHeight="1">
      <c r="A158" s="7" t="s">
        <v>273</v>
      </c>
      <c r="B158" s="7" t="s">
        <v>273</v>
      </c>
      <c r="C158" s="7" t="s">
        <v>422</v>
      </c>
      <c r="D158" s="7" t="s">
        <v>574</v>
      </c>
      <c r="E158" s="7" t="s">
        <v>52</v>
      </c>
      <c r="F158" s="7" t="s">
        <v>615</v>
      </c>
      <c r="G158" s="7" t="s">
        <v>262</v>
      </c>
      <c r="H158" s="7" t="s">
        <v>616</v>
      </c>
      <c r="I158" s="7" t="s">
        <v>584</v>
      </c>
      <c r="J158" s="9">
        <v>16664</v>
      </c>
      <c r="K158" s="9">
        <v>258</v>
      </c>
      <c r="L158" s="9">
        <v>0</v>
      </c>
      <c r="M158" s="11">
        <v>0</v>
      </c>
      <c r="N158" s="7" t="s">
        <v>614</v>
      </c>
    </row>
    <row r="159" spans="1:14" ht="21" customHeight="1">
      <c r="A159" s="7" t="s">
        <v>275</v>
      </c>
      <c r="B159" s="7" t="s">
        <v>275</v>
      </c>
      <c r="C159" s="7" t="s">
        <v>477</v>
      </c>
      <c r="D159" s="7" t="s">
        <v>574</v>
      </c>
      <c r="E159" s="7" t="s">
        <v>52</v>
      </c>
      <c r="F159" s="7" t="s">
        <v>615</v>
      </c>
      <c r="G159" s="7" t="s">
        <v>262</v>
      </c>
      <c r="H159" s="7" t="s">
        <v>616</v>
      </c>
      <c r="I159" s="7" t="s">
        <v>584</v>
      </c>
      <c r="J159" s="9">
        <v>303</v>
      </c>
      <c r="K159" s="9">
        <v>0</v>
      </c>
      <c r="L159" s="9">
        <v>0</v>
      </c>
      <c r="M159" s="11">
        <v>0</v>
      </c>
      <c r="N159" s="7" t="s">
        <v>614</v>
      </c>
    </row>
    <row r="160" spans="1:14" ht="21" customHeight="1">
      <c r="A160" s="7" t="s">
        <v>277</v>
      </c>
      <c r="B160" s="7" t="s">
        <v>277</v>
      </c>
      <c r="C160" s="7" t="s">
        <v>423</v>
      </c>
      <c r="D160" s="7" t="s">
        <v>574</v>
      </c>
      <c r="E160" s="7" t="s">
        <v>52</v>
      </c>
      <c r="F160" s="7" t="s">
        <v>615</v>
      </c>
      <c r="G160" s="7" t="s">
        <v>262</v>
      </c>
      <c r="H160" s="7" t="s">
        <v>616</v>
      </c>
      <c r="I160" s="7" t="s">
        <v>584</v>
      </c>
      <c r="J160" s="9">
        <v>3594</v>
      </c>
      <c r="K160" s="9">
        <v>35</v>
      </c>
      <c r="L160" s="9">
        <v>0</v>
      </c>
      <c r="M160" s="11">
        <v>0</v>
      </c>
      <c r="N160" s="7" t="s">
        <v>614</v>
      </c>
    </row>
    <row r="161" spans="1:14" ht="21" customHeight="1">
      <c r="A161" s="7" t="s">
        <v>557</v>
      </c>
      <c r="B161" s="7" t="s">
        <v>557</v>
      </c>
      <c r="C161" s="7" t="s">
        <v>558</v>
      </c>
      <c r="D161" s="7" t="s">
        <v>581</v>
      </c>
      <c r="E161" s="7" t="s">
        <v>52</v>
      </c>
      <c r="F161" s="7" t="s">
        <v>615</v>
      </c>
      <c r="G161" s="7" t="s">
        <v>262</v>
      </c>
      <c r="H161" s="7" t="s">
        <v>616</v>
      </c>
      <c r="I161" s="7" t="s">
        <v>584</v>
      </c>
      <c r="J161" s="9">
        <v>6</v>
      </c>
      <c r="K161" s="9">
        <v>0</v>
      </c>
      <c r="L161" s="9">
        <v>0</v>
      </c>
      <c r="M161" s="11">
        <v>0</v>
      </c>
      <c r="N161" s="7" t="s">
        <v>614</v>
      </c>
    </row>
    <row r="162" spans="1:14" ht="21" customHeight="1">
      <c r="A162" s="7" t="s">
        <v>550</v>
      </c>
      <c r="B162" s="7" t="s">
        <v>550</v>
      </c>
      <c r="C162" s="7" t="s">
        <v>551</v>
      </c>
      <c r="D162" s="7" t="s">
        <v>581</v>
      </c>
      <c r="E162" s="7" t="s">
        <v>52</v>
      </c>
      <c r="F162" s="7" t="s">
        <v>615</v>
      </c>
      <c r="G162" s="7" t="s">
        <v>262</v>
      </c>
      <c r="H162" s="7" t="s">
        <v>616</v>
      </c>
      <c r="I162" s="7" t="s">
        <v>584</v>
      </c>
      <c r="J162" s="9">
        <v>1</v>
      </c>
      <c r="K162" s="9">
        <v>0</v>
      </c>
      <c r="L162" s="9">
        <v>0</v>
      </c>
      <c r="M162" s="11">
        <v>0</v>
      </c>
      <c r="N162" s="7" t="s">
        <v>614</v>
      </c>
    </row>
    <row r="163" spans="1:14" ht="21" customHeight="1">
      <c r="A163" s="7" t="s">
        <v>279</v>
      </c>
      <c r="B163" s="7" t="s">
        <v>279</v>
      </c>
      <c r="C163" s="7" t="s">
        <v>479</v>
      </c>
      <c r="D163" s="7" t="s">
        <v>574</v>
      </c>
      <c r="E163" s="7" t="s">
        <v>52</v>
      </c>
      <c r="F163" s="7" t="s">
        <v>615</v>
      </c>
      <c r="G163" s="7" t="s">
        <v>262</v>
      </c>
      <c r="H163" s="7" t="s">
        <v>616</v>
      </c>
      <c r="I163" s="7" t="s">
        <v>584</v>
      </c>
      <c r="J163" s="9">
        <v>597</v>
      </c>
      <c r="K163" s="9">
        <v>0</v>
      </c>
      <c r="L163" s="9">
        <v>0</v>
      </c>
      <c r="M163" s="11">
        <v>0</v>
      </c>
      <c r="N163" s="7" t="s">
        <v>614</v>
      </c>
    </row>
    <row r="164" spans="1:14" ht="21" customHeight="1">
      <c r="A164" s="7" t="s">
        <v>280</v>
      </c>
      <c r="B164" s="7" t="s">
        <v>280</v>
      </c>
      <c r="C164" s="7" t="s">
        <v>533</v>
      </c>
      <c r="D164" s="7" t="s">
        <v>574</v>
      </c>
      <c r="E164" s="7" t="s">
        <v>52</v>
      </c>
      <c r="F164" s="7" t="s">
        <v>615</v>
      </c>
      <c r="G164" s="7" t="s">
        <v>262</v>
      </c>
      <c r="H164" s="7" t="s">
        <v>616</v>
      </c>
      <c r="I164" s="7" t="s">
        <v>584</v>
      </c>
      <c r="J164" s="9">
        <v>86</v>
      </c>
      <c r="K164" s="9">
        <v>0</v>
      </c>
      <c r="L164" s="9">
        <v>0</v>
      </c>
      <c r="M164" s="11">
        <v>0</v>
      </c>
      <c r="N164" s="7" t="s">
        <v>614</v>
      </c>
    </row>
    <row r="165" spans="1:14" ht="21" customHeight="1">
      <c r="A165" s="7" t="s">
        <v>281</v>
      </c>
      <c r="B165" s="7" t="s">
        <v>281</v>
      </c>
      <c r="C165" s="7" t="s">
        <v>481</v>
      </c>
      <c r="D165" s="7" t="s">
        <v>574</v>
      </c>
      <c r="E165" s="7" t="s">
        <v>52</v>
      </c>
      <c r="F165" s="7" t="s">
        <v>615</v>
      </c>
      <c r="G165" s="7" t="s">
        <v>262</v>
      </c>
      <c r="H165" s="7" t="s">
        <v>616</v>
      </c>
      <c r="I165" s="7" t="s">
        <v>584</v>
      </c>
      <c r="J165" s="9">
        <v>253</v>
      </c>
      <c r="K165" s="9">
        <v>0</v>
      </c>
      <c r="L165" s="9">
        <v>0</v>
      </c>
      <c r="M165" s="11">
        <v>0</v>
      </c>
      <c r="N165" s="7" t="s">
        <v>614</v>
      </c>
    </row>
    <row r="166" spans="1:14" ht="21" customHeight="1">
      <c r="A166" s="7" t="s">
        <v>482</v>
      </c>
      <c r="B166" s="7" t="s">
        <v>482</v>
      </c>
      <c r="C166" s="7" t="s">
        <v>483</v>
      </c>
      <c r="D166" s="7" t="s">
        <v>581</v>
      </c>
      <c r="E166" s="7" t="s">
        <v>52</v>
      </c>
      <c r="F166" s="7" t="s">
        <v>615</v>
      </c>
      <c r="G166" s="7" t="s">
        <v>262</v>
      </c>
      <c r="H166" s="7" t="s">
        <v>616</v>
      </c>
      <c r="I166" s="7" t="s">
        <v>584</v>
      </c>
      <c r="J166" s="9">
        <v>6</v>
      </c>
      <c r="K166" s="9">
        <v>0</v>
      </c>
      <c r="L166" s="9">
        <v>0</v>
      </c>
      <c r="M166" s="11">
        <v>0</v>
      </c>
      <c r="N166" s="7" t="s">
        <v>614</v>
      </c>
    </row>
    <row r="167" spans="1:14" ht="21" customHeight="1">
      <c r="A167" s="7" t="s">
        <v>283</v>
      </c>
      <c r="B167" s="7" t="s">
        <v>283</v>
      </c>
      <c r="C167" s="7" t="s">
        <v>618</v>
      </c>
      <c r="D167" s="7" t="s">
        <v>574</v>
      </c>
      <c r="E167" s="7" t="s">
        <v>52</v>
      </c>
      <c r="F167" s="7" t="s">
        <v>615</v>
      </c>
      <c r="G167" s="7" t="s">
        <v>262</v>
      </c>
      <c r="H167" s="7" t="s">
        <v>616</v>
      </c>
      <c r="I167" s="7" t="s">
        <v>584</v>
      </c>
      <c r="J167" s="9">
        <v>2173</v>
      </c>
      <c r="K167" s="9">
        <v>2</v>
      </c>
      <c r="L167" s="9">
        <v>0</v>
      </c>
      <c r="M167" s="11">
        <v>0</v>
      </c>
      <c r="N167" s="7" t="s">
        <v>614</v>
      </c>
    </row>
    <row r="168" spans="1:14" ht="21" customHeight="1">
      <c r="A168" s="7" t="s">
        <v>285</v>
      </c>
      <c r="B168" s="7" t="s">
        <v>285</v>
      </c>
      <c r="C168" s="7" t="s">
        <v>542</v>
      </c>
      <c r="D168" s="7" t="s">
        <v>574</v>
      </c>
      <c r="E168" s="7" t="s">
        <v>52</v>
      </c>
      <c r="F168" s="7" t="s">
        <v>615</v>
      </c>
      <c r="G168" s="7" t="s">
        <v>262</v>
      </c>
      <c r="H168" s="7" t="s">
        <v>616</v>
      </c>
      <c r="I168" s="7" t="s">
        <v>584</v>
      </c>
      <c r="J168" s="9">
        <v>3</v>
      </c>
      <c r="K168" s="9">
        <v>0</v>
      </c>
      <c r="L168" s="9">
        <v>0</v>
      </c>
      <c r="M168" s="11">
        <v>0</v>
      </c>
      <c r="N168" s="7" t="s">
        <v>614</v>
      </c>
    </row>
    <row r="169" spans="1:14" ht="21" customHeight="1">
      <c r="A169" s="7" t="s">
        <v>286</v>
      </c>
      <c r="B169" s="7" t="s">
        <v>286</v>
      </c>
      <c r="C169" s="7" t="s">
        <v>426</v>
      </c>
      <c r="D169" s="7" t="s">
        <v>574</v>
      </c>
      <c r="E169" s="7" t="s">
        <v>52</v>
      </c>
      <c r="F169" s="7" t="s">
        <v>615</v>
      </c>
      <c r="G169" s="7" t="s">
        <v>262</v>
      </c>
      <c r="H169" s="7" t="s">
        <v>616</v>
      </c>
      <c r="I169" s="7" t="s">
        <v>584</v>
      </c>
      <c r="J169" s="9">
        <v>237</v>
      </c>
      <c r="K169" s="9">
        <v>0</v>
      </c>
      <c r="L169" s="9">
        <v>0</v>
      </c>
      <c r="M169" s="11">
        <v>0</v>
      </c>
      <c r="N169" s="7" t="s">
        <v>614</v>
      </c>
    </row>
    <row r="170" spans="1:14" ht="21" customHeight="1">
      <c r="A170" s="8" t="s">
        <v>427</v>
      </c>
      <c r="B170" s="8" t="s">
        <v>427</v>
      </c>
      <c r="C170" s="8" t="s">
        <v>543</v>
      </c>
      <c r="D170" s="8" t="s">
        <v>581</v>
      </c>
      <c r="E170" s="8" t="s">
        <v>52</v>
      </c>
      <c r="F170" s="8" t="s">
        <v>615</v>
      </c>
      <c r="G170" s="8" t="s">
        <v>262</v>
      </c>
      <c r="H170" s="8" t="s">
        <v>616</v>
      </c>
      <c r="I170" s="8" t="s">
        <v>584</v>
      </c>
      <c r="J170" s="10">
        <v>8</v>
      </c>
      <c r="K170" s="10">
        <v>0</v>
      </c>
      <c r="L170" s="10">
        <v>0</v>
      </c>
      <c r="M170" s="12">
        <v>0</v>
      </c>
      <c r="N170" s="8" t="s">
        <v>614</v>
      </c>
    </row>
  </sheetData>
  <conditionalFormatting sqref="G6:H170">
    <cfRule type="containsText" dxfId="1" priority="1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C3AED"/>
  </sheetPr>
  <dimension ref="A1:N150"/>
  <sheetViews>
    <sheetView showGridLines="0" tabSelected="1" workbookViewId="0">
      <pane xSplit="5" ySplit="5" topLeftCell="F6" activePane="bottomRight" state="frozen"/>
      <selection pane="topRight"/>
      <selection pane="bottomLeft"/>
      <selection pane="bottomRight" activeCell="F6" sqref="F6"/>
    </sheetView>
  </sheetViews>
  <sheetFormatPr baseColWidth="10" defaultColWidth="8.83203125" defaultRowHeight="14"/>
  <cols>
    <col min="1" max="1" width="10" customWidth="1"/>
    <col min="2" max="2" width="82" customWidth="1"/>
    <col min="3" max="3" width="23" customWidth="1"/>
    <col min="4" max="4" width="31" customWidth="1"/>
    <col min="5" max="5" width="50" customWidth="1"/>
    <col min="6" max="6" width="18" customWidth="1"/>
    <col min="7" max="7" width="27" customWidth="1"/>
    <col min="8" max="10" width="18" customWidth="1"/>
    <col min="11" max="13" width="16" customWidth="1"/>
    <col min="14" max="14" width="14" customWidth="1"/>
  </cols>
  <sheetData>
    <row r="1" spans="1:14" ht="8" customHeight="1"/>
    <row r="2" spans="1:14" ht="19">
      <c r="A2" s="1" t="s">
        <v>619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620</v>
      </c>
    </row>
    <row r="5" spans="1:14" ht="30" customHeight="1">
      <c r="A5" s="4" t="s">
        <v>2</v>
      </c>
      <c r="B5" s="5" t="s">
        <v>621</v>
      </c>
      <c r="C5" s="5" t="s">
        <v>622</v>
      </c>
      <c r="D5" s="5" t="s">
        <v>623</v>
      </c>
      <c r="E5" s="5" t="s">
        <v>56</v>
      </c>
      <c r="F5" s="5" t="s">
        <v>624</v>
      </c>
      <c r="G5" s="5" t="s">
        <v>625</v>
      </c>
      <c r="H5" s="5" t="s">
        <v>626</v>
      </c>
      <c r="I5" s="5" t="s">
        <v>627</v>
      </c>
      <c r="J5" s="5" t="s">
        <v>628</v>
      </c>
      <c r="K5" s="5" t="s">
        <v>629</v>
      </c>
      <c r="L5" s="5" t="s">
        <v>630</v>
      </c>
      <c r="M5" s="5" t="s">
        <v>631</v>
      </c>
      <c r="N5" s="6" t="s">
        <v>632</v>
      </c>
    </row>
    <row r="6" spans="1:14" ht="23" customHeight="1">
      <c r="A6" s="7" t="s">
        <v>633</v>
      </c>
      <c r="B6" s="7" t="s">
        <v>634</v>
      </c>
      <c r="C6" s="7" t="s">
        <v>96</v>
      </c>
      <c r="D6" s="7" t="s">
        <v>96</v>
      </c>
      <c r="E6" s="7" t="s">
        <v>97</v>
      </c>
      <c r="F6" s="7" t="s">
        <v>635</v>
      </c>
      <c r="G6" s="7" t="s">
        <v>42</v>
      </c>
      <c r="H6" s="7" t="s">
        <v>576</v>
      </c>
      <c r="I6" s="7" t="s">
        <v>636</v>
      </c>
      <c r="J6" s="7" t="s">
        <v>637</v>
      </c>
      <c r="K6" s="15">
        <v>367.81</v>
      </c>
      <c r="L6" s="9">
        <v>29662</v>
      </c>
      <c r="M6" s="9">
        <v>1089</v>
      </c>
      <c r="N6" s="19">
        <v>2.5</v>
      </c>
    </row>
    <row r="7" spans="1:14" ht="23" customHeight="1">
      <c r="A7" s="7" t="s">
        <v>633</v>
      </c>
      <c r="B7" s="7" t="s">
        <v>638</v>
      </c>
      <c r="C7" s="7" t="s">
        <v>76</v>
      </c>
      <c r="D7" s="7" t="s">
        <v>76</v>
      </c>
      <c r="E7" s="7" t="s">
        <v>295</v>
      </c>
      <c r="F7" s="7" t="s">
        <v>635</v>
      </c>
      <c r="G7" s="7" t="s">
        <v>42</v>
      </c>
      <c r="H7" s="7" t="s">
        <v>576</v>
      </c>
      <c r="I7" s="7" t="s">
        <v>636</v>
      </c>
      <c r="J7" s="7" t="s">
        <v>637</v>
      </c>
      <c r="K7" s="15">
        <v>4767.57</v>
      </c>
      <c r="L7" s="9">
        <v>193359</v>
      </c>
      <c r="M7" s="9">
        <v>10401</v>
      </c>
      <c r="N7" s="19">
        <v>25.8</v>
      </c>
    </row>
    <row r="8" spans="1:14" ht="23" customHeight="1">
      <c r="A8" s="7" t="s">
        <v>633</v>
      </c>
      <c r="B8" s="7" t="s">
        <v>639</v>
      </c>
      <c r="C8" s="7" t="s">
        <v>66</v>
      </c>
      <c r="D8" s="7" t="s">
        <v>66</v>
      </c>
      <c r="E8" s="7" t="s">
        <v>67</v>
      </c>
      <c r="F8" s="7" t="s">
        <v>635</v>
      </c>
      <c r="G8" s="7" t="s">
        <v>41</v>
      </c>
      <c r="H8" s="7" t="s">
        <v>576</v>
      </c>
      <c r="I8" s="7" t="s">
        <v>636</v>
      </c>
      <c r="J8" s="7" t="s">
        <v>640</v>
      </c>
      <c r="K8" s="15">
        <v>6513.47</v>
      </c>
      <c r="L8" s="9">
        <v>26935</v>
      </c>
      <c r="M8" s="9">
        <v>2402</v>
      </c>
      <c r="N8" s="19">
        <v>7.2</v>
      </c>
    </row>
    <row r="9" spans="1:14" ht="23" customHeight="1">
      <c r="A9" s="7" t="s">
        <v>633</v>
      </c>
      <c r="B9" s="7" t="s">
        <v>641</v>
      </c>
      <c r="C9" s="7" t="s">
        <v>66</v>
      </c>
      <c r="D9" s="7" t="s">
        <v>66</v>
      </c>
      <c r="E9" s="7" t="s">
        <v>67</v>
      </c>
      <c r="F9" s="7" t="s">
        <v>635</v>
      </c>
      <c r="G9" s="7" t="s">
        <v>41</v>
      </c>
      <c r="H9" s="7" t="s">
        <v>576</v>
      </c>
      <c r="I9" s="7" t="s">
        <v>636</v>
      </c>
      <c r="J9" s="7" t="s">
        <v>637</v>
      </c>
      <c r="K9" s="15">
        <v>5551.42</v>
      </c>
      <c r="L9" s="9">
        <v>362052</v>
      </c>
      <c r="M9" s="9">
        <v>125208</v>
      </c>
      <c r="N9" s="19">
        <v>22.1</v>
      </c>
    </row>
    <row r="10" spans="1:14" ht="23" customHeight="1">
      <c r="A10" s="7" t="s">
        <v>633</v>
      </c>
      <c r="B10" s="7" t="s">
        <v>642</v>
      </c>
      <c r="C10" s="7" t="s">
        <v>66</v>
      </c>
      <c r="D10" s="7" t="s">
        <v>66</v>
      </c>
      <c r="E10" s="7" t="s">
        <v>67</v>
      </c>
      <c r="F10" s="7" t="s">
        <v>635</v>
      </c>
      <c r="G10" s="7" t="s">
        <v>41</v>
      </c>
      <c r="H10" s="7" t="s">
        <v>576</v>
      </c>
      <c r="I10" s="7" t="s">
        <v>636</v>
      </c>
      <c r="J10" s="7" t="s">
        <v>640</v>
      </c>
      <c r="K10" s="15">
        <v>1975.66</v>
      </c>
      <c r="L10" s="9">
        <v>10367</v>
      </c>
      <c r="M10" s="9">
        <v>950</v>
      </c>
      <c r="N10" s="19">
        <v>0</v>
      </c>
    </row>
    <row r="11" spans="1:14" ht="23" customHeight="1">
      <c r="A11" s="7" t="s">
        <v>633</v>
      </c>
      <c r="B11" s="7" t="s">
        <v>643</v>
      </c>
      <c r="C11" s="7" t="s">
        <v>62</v>
      </c>
      <c r="D11" s="7" t="s">
        <v>62</v>
      </c>
      <c r="E11" s="7" t="s">
        <v>63</v>
      </c>
      <c r="F11" s="7" t="s">
        <v>635</v>
      </c>
      <c r="G11" s="7" t="s">
        <v>41</v>
      </c>
      <c r="H11" s="7" t="s">
        <v>576</v>
      </c>
      <c r="I11" s="7" t="s">
        <v>636</v>
      </c>
      <c r="J11" s="7" t="s">
        <v>637</v>
      </c>
      <c r="K11" s="15">
        <v>6105.08</v>
      </c>
      <c r="L11" s="9">
        <v>938568</v>
      </c>
      <c r="M11" s="9">
        <v>11150</v>
      </c>
      <c r="N11" s="19">
        <v>46.5</v>
      </c>
    </row>
    <row r="12" spans="1:14" ht="23" customHeight="1">
      <c r="A12" s="7" t="s">
        <v>633</v>
      </c>
      <c r="B12" s="7" t="s">
        <v>644</v>
      </c>
      <c r="C12" s="7" t="s">
        <v>62</v>
      </c>
      <c r="D12" s="7" t="s">
        <v>62</v>
      </c>
      <c r="E12" s="7" t="s">
        <v>63</v>
      </c>
      <c r="F12" s="7" t="s">
        <v>635</v>
      </c>
      <c r="G12" s="7" t="s">
        <v>41</v>
      </c>
      <c r="H12" s="7" t="s">
        <v>576</v>
      </c>
      <c r="I12" s="7" t="s">
        <v>636</v>
      </c>
      <c r="J12" s="7" t="s">
        <v>645</v>
      </c>
      <c r="K12" s="15">
        <v>2951.59</v>
      </c>
      <c r="L12" s="9">
        <v>455808</v>
      </c>
      <c r="M12" s="9">
        <v>280518</v>
      </c>
      <c r="N12" s="19">
        <v>2</v>
      </c>
    </row>
    <row r="13" spans="1:14" ht="23" customHeight="1">
      <c r="A13" s="7" t="s">
        <v>633</v>
      </c>
      <c r="B13" s="7" t="s">
        <v>646</v>
      </c>
      <c r="C13" s="7" t="s">
        <v>62</v>
      </c>
      <c r="D13" s="7" t="s">
        <v>62</v>
      </c>
      <c r="E13" s="7" t="s">
        <v>63</v>
      </c>
      <c r="F13" s="7" t="s">
        <v>635</v>
      </c>
      <c r="G13" s="7" t="s">
        <v>41</v>
      </c>
      <c r="H13" s="7" t="s">
        <v>576</v>
      </c>
      <c r="I13" s="7" t="s">
        <v>636</v>
      </c>
      <c r="J13" s="7" t="s">
        <v>640</v>
      </c>
      <c r="K13" s="15">
        <v>2397.86</v>
      </c>
      <c r="L13" s="9">
        <v>10107</v>
      </c>
      <c r="M13" s="9">
        <v>1404</v>
      </c>
      <c r="N13" s="19">
        <v>7.5</v>
      </c>
    </row>
    <row r="14" spans="1:14" ht="23" customHeight="1">
      <c r="A14" s="7" t="s">
        <v>633</v>
      </c>
      <c r="B14" s="7" t="s">
        <v>647</v>
      </c>
      <c r="C14" s="7" t="s">
        <v>72</v>
      </c>
      <c r="D14" s="7" t="s">
        <v>72</v>
      </c>
      <c r="E14" s="7" t="s">
        <v>73</v>
      </c>
      <c r="F14" s="7" t="s">
        <v>635</v>
      </c>
      <c r="G14" s="7" t="s">
        <v>41</v>
      </c>
      <c r="H14" s="7" t="s">
        <v>576</v>
      </c>
      <c r="I14" s="7" t="s">
        <v>636</v>
      </c>
      <c r="J14" s="7" t="s">
        <v>637</v>
      </c>
      <c r="K14" s="15">
        <v>7966.55</v>
      </c>
      <c r="L14" s="9">
        <v>392576</v>
      </c>
      <c r="M14" s="9">
        <v>11173</v>
      </c>
      <c r="N14" s="19">
        <v>30.1</v>
      </c>
    </row>
    <row r="15" spans="1:14" ht="23" customHeight="1">
      <c r="A15" s="7" t="s">
        <v>633</v>
      </c>
      <c r="B15" s="7" t="s">
        <v>648</v>
      </c>
      <c r="C15" s="7" t="s">
        <v>68</v>
      </c>
      <c r="D15" s="7" t="s">
        <v>68</v>
      </c>
      <c r="E15" s="7" t="s">
        <v>69</v>
      </c>
      <c r="F15" s="7" t="s">
        <v>635</v>
      </c>
      <c r="G15" s="7" t="s">
        <v>41</v>
      </c>
      <c r="H15" s="7" t="s">
        <v>576</v>
      </c>
      <c r="I15" s="7" t="s">
        <v>636</v>
      </c>
      <c r="J15" s="7" t="s">
        <v>637</v>
      </c>
      <c r="K15" s="15">
        <v>16604.71</v>
      </c>
      <c r="L15" s="9">
        <v>289427</v>
      </c>
      <c r="M15" s="9">
        <v>111255</v>
      </c>
      <c r="N15" s="19">
        <v>44.2</v>
      </c>
    </row>
    <row r="16" spans="1:14" ht="23" customHeight="1">
      <c r="A16" s="7" t="s">
        <v>633</v>
      </c>
      <c r="B16" s="7" t="s">
        <v>649</v>
      </c>
      <c r="C16" s="7" t="s">
        <v>68</v>
      </c>
      <c r="D16" s="7" t="s">
        <v>68</v>
      </c>
      <c r="E16" s="7" t="s">
        <v>69</v>
      </c>
      <c r="F16" s="7" t="s">
        <v>635</v>
      </c>
      <c r="G16" s="7" t="s">
        <v>41</v>
      </c>
      <c r="H16" s="7" t="s">
        <v>576</v>
      </c>
      <c r="I16" s="7" t="s">
        <v>636</v>
      </c>
      <c r="J16" s="7" t="s">
        <v>637</v>
      </c>
      <c r="K16" s="15">
        <v>6633.29</v>
      </c>
      <c r="L16" s="9">
        <v>626996</v>
      </c>
      <c r="M16" s="9">
        <v>11948</v>
      </c>
      <c r="N16" s="19">
        <v>8.1999999999999993</v>
      </c>
    </row>
    <row r="17" spans="1:14" ht="23" customHeight="1">
      <c r="A17" s="7" t="s">
        <v>633</v>
      </c>
      <c r="B17" s="7" t="s">
        <v>650</v>
      </c>
      <c r="C17" s="7" t="s">
        <v>64</v>
      </c>
      <c r="D17" s="7" t="s">
        <v>64</v>
      </c>
      <c r="E17" s="7" t="s">
        <v>65</v>
      </c>
      <c r="F17" s="7" t="s">
        <v>635</v>
      </c>
      <c r="G17" s="7" t="s">
        <v>41</v>
      </c>
      <c r="H17" s="7" t="s">
        <v>576</v>
      </c>
      <c r="I17" s="7" t="s">
        <v>636</v>
      </c>
      <c r="J17" s="7" t="s">
        <v>637</v>
      </c>
      <c r="K17" s="15">
        <v>4759.29</v>
      </c>
      <c r="L17" s="9">
        <v>171824</v>
      </c>
      <c r="M17" s="9">
        <v>12892</v>
      </c>
      <c r="N17" s="19">
        <v>16.899999999999999</v>
      </c>
    </row>
    <row r="18" spans="1:14" ht="23" customHeight="1">
      <c r="A18" s="7" t="s">
        <v>633</v>
      </c>
      <c r="B18" s="7" t="s">
        <v>651</v>
      </c>
      <c r="C18" s="7" t="s">
        <v>64</v>
      </c>
      <c r="D18" s="7" t="s">
        <v>64</v>
      </c>
      <c r="E18" s="7" t="s">
        <v>65</v>
      </c>
      <c r="F18" s="7" t="s">
        <v>635</v>
      </c>
      <c r="G18" s="7" t="s">
        <v>41</v>
      </c>
      <c r="H18" s="7" t="s">
        <v>576</v>
      </c>
      <c r="I18" s="7" t="s">
        <v>636</v>
      </c>
      <c r="J18" s="7" t="s">
        <v>640</v>
      </c>
      <c r="K18" s="15">
        <v>3389.64</v>
      </c>
      <c r="L18" s="9">
        <v>10950</v>
      </c>
      <c r="M18" s="9">
        <v>2093</v>
      </c>
      <c r="N18" s="19">
        <v>3</v>
      </c>
    </row>
    <row r="19" spans="1:14" ht="23" customHeight="1">
      <c r="A19" s="7" t="s">
        <v>633</v>
      </c>
      <c r="B19" s="7" t="s">
        <v>652</v>
      </c>
      <c r="C19" s="7" t="s">
        <v>64</v>
      </c>
      <c r="D19" s="7" t="s">
        <v>64</v>
      </c>
      <c r="E19" s="7" t="s">
        <v>65</v>
      </c>
      <c r="F19" s="7" t="s">
        <v>635</v>
      </c>
      <c r="G19" s="7" t="s">
        <v>41</v>
      </c>
      <c r="H19" s="7" t="s">
        <v>576</v>
      </c>
      <c r="I19" s="7" t="s">
        <v>636</v>
      </c>
      <c r="J19" s="7" t="s">
        <v>640</v>
      </c>
      <c r="K19" s="15">
        <v>932.14</v>
      </c>
      <c r="L19" s="9">
        <v>5770</v>
      </c>
      <c r="M19" s="9">
        <v>818</v>
      </c>
      <c r="N19" s="19">
        <v>0.5</v>
      </c>
    </row>
    <row r="20" spans="1:14" ht="23" customHeight="1">
      <c r="A20" s="7" t="s">
        <v>633</v>
      </c>
      <c r="B20" s="7" t="s">
        <v>653</v>
      </c>
      <c r="C20" s="7" t="s">
        <v>654</v>
      </c>
      <c r="D20" s="7" t="s">
        <v>654</v>
      </c>
      <c r="E20" s="7" t="s">
        <v>655</v>
      </c>
      <c r="F20" s="7" t="s">
        <v>656</v>
      </c>
      <c r="G20" s="7" t="s">
        <v>657</v>
      </c>
      <c r="H20" s="7" t="s">
        <v>576</v>
      </c>
      <c r="I20" s="7" t="s">
        <v>658</v>
      </c>
      <c r="J20" s="7" t="s">
        <v>637</v>
      </c>
      <c r="K20" s="15">
        <v>18847.240000000002</v>
      </c>
      <c r="L20" s="9">
        <v>3937908</v>
      </c>
      <c r="M20" s="9">
        <v>55146</v>
      </c>
      <c r="N20" s="19">
        <v>370.6</v>
      </c>
    </row>
    <row r="21" spans="1:14" ht="23" customHeight="1">
      <c r="A21" s="7" t="s">
        <v>633</v>
      </c>
      <c r="B21" s="7" t="s">
        <v>659</v>
      </c>
      <c r="C21" s="7" t="s">
        <v>654</v>
      </c>
      <c r="D21" s="7" t="s">
        <v>654</v>
      </c>
      <c r="E21" s="7" t="s">
        <v>655</v>
      </c>
      <c r="F21" s="7" t="s">
        <v>656</v>
      </c>
      <c r="G21" s="7" t="s">
        <v>657</v>
      </c>
      <c r="H21" s="7" t="s">
        <v>576</v>
      </c>
      <c r="I21" s="7" t="s">
        <v>658</v>
      </c>
      <c r="J21" s="7" t="s">
        <v>637</v>
      </c>
      <c r="K21" s="15">
        <v>18151.47</v>
      </c>
      <c r="L21" s="9">
        <v>3706492</v>
      </c>
      <c r="M21" s="9">
        <v>61622</v>
      </c>
      <c r="N21" s="19">
        <v>178.2</v>
      </c>
    </row>
    <row r="22" spans="1:14" ht="23" customHeight="1">
      <c r="A22" s="7" t="s">
        <v>633</v>
      </c>
      <c r="B22" s="7" t="s">
        <v>660</v>
      </c>
      <c r="C22" s="7" t="s">
        <v>654</v>
      </c>
      <c r="D22" s="7" t="s">
        <v>654</v>
      </c>
      <c r="E22" s="7" t="s">
        <v>655</v>
      </c>
      <c r="F22" s="7" t="s">
        <v>656</v>
      </c>
      <c r="G22" s="7" t="s">
        <v>657</v>
      </c>
      <c r="H22" s="7" t="s">
        <v>576</v>
      </c>
      <c r="I22" s="7" t="s">
        <v>658</v>
      </c>
      <c r="J22" s="7" t="s">
        <v>640</v>
      </c>
      <c r="K22" s="15">
        <v>9308.41</v>
      </c>
      <c r="L22" s="9">
        <v>60843</v>
      </c>
      <c r="M22" s="9">
        <v>13578</v>
      </c>
      <c r="N22" s="19">
        <v>167.2</v>
      </c>
    </row>
    <row r="23" spans="1:14" ht="23" customHeight="1">
      <c r="A23" s="7" t="s">
        <v>633</v>
      </c>
      <c r="B23" s="7" t="s">
        <v>661</v>
      </c>
      <c r="C23" s="7" t="s">
        <v>654</v>
      </c>
      <c r="D23" s="7" t="s">
        <v>654</v>
      </c>
      <c r="E23" s="7" t="s">
        <v>655</v>
      </c>
      <c r="F23" s="7" t="s">
        <v>656</v>
      </c>
      <c r="G23" s="7" t="s">
        <v>657</v>
      </c>
      <c r="H23" s="7" t="s">
        <v>576</v>
      </c>
      <c r="I23" s="7" t="s">
        <v>658</v>
      </c>
      <c r="J23" s="7" t="s">
        <v>640</v>
      </c>
      <c r="K23" s="15">
        <v>9175.69</v>
      </c>
      <c r="L23" s="9">
        <v>57238</v>
      </c>
      <c r="M23" s="9">
        <v>7964</v>
      </c>
      <c r="N23" s="19">
        <v>48.9</v>
      </c>
    </row>
    <row r="24" spans="1:14" ht="23" customHeight="1">
      <c r="A24" s="7" t="s">
        <v>633</v>
      </c>
      <c r="B24" s="7" t="s">
        <v>662</v>
      </c>
      <c r="C24" s="7" t="s">
        <v>654</v>
      </c>
      <c r="D24" s="7" t="s">
        <v>654</v>
      </c>
      <c r="E24" s="7" t="s">
        <v>655</v>
      </c>
      <c r="F24" s="7" t="s">
        <v>656</v>
      </c>
      <c r="G24" s="7" t="s">
        <v>657</v>
      </c>
      <c r="H24" s="7" t="s">
        <v>576</v>
      </c>
      <c r="I24" s="7" t="s">
        <v>658</v>
      </c>
      <c r="J24" s="7" t="s">
        <v>640</v>
      </c>
      <c r="K24" s="15">
        <v>8541.59</v>
      </c>
      <c r="L24" s="9">
        <v>44399</v>
      </c>
      <c r="M24" s="9">
        <v>10422</v>
      </c>
      <c r="N24" s="19">
        <v>90.9</v>
      </c>
    </row>
    <row r="25" spans="1:14" ht="23" customHeight="1">
      <c r="A25" s="7" t="s">
        <v>633</v>
      </c>
      <c r="B25" s="7" t="s">
        <v>663</v>
      </c>
      <c r="C25" s="7" t="s">
        <v>654</v>
      </c>
      <c r="D25" s="7" t="s">
        <v>654</v>
      </c>
      <c r="E25" s="7" t="s">
        <v>655</v>
      </c>
      <c r="F25" s="7" t="s">
        <v>656</v>
      </c>
      <c r="G25" s="7" t="s">
        <v>657</v>
      </c>
      <c r="H25" s="7" t="s">
        <v>576</v>
      </c>
      <c r="I25" s="7" t="s">
        <v>658</v>
      </c>
      <c r="J25" s="7" t="s">
        <v>637</v>
      </c>
      <c r="K25" s="15">
        <v>4090.8</v>
      </c>
      <c r="L25" s="9">
        <v>231999</v>
      </c>
      <c r="M25" s="9">
        <v>6031</v>
      </c>
      <c r="N25" s="19">
        <v>88.1</v>
      </c>
    </row>
    <row r="26" spans="1:14" ht="23" customHeight="1">
      <c r="A26" s="7" t="s">
        <v>633</v>
      </c>
      <c r="B26" s="7" t="s">
        <v>664</v>
      </c>
      <c r="C26" s="7" t="s">
        <v>654</v>
      </c>
      <c r="D26" s="7" t="s">
        <v>654</v>
      </c>
      <c r="E26" s="7" t="s">
        <v>655</v>
      </c>
      <c r="F26" s="7" t="s">
        <v>656</v>
      </c>
      <c r="G26" s="7" t="s">
        <v>657</v>
      </c>
      <c r="H26" s="7" t="s">
        <v>576</v>
      </c>
      <c r="I26" s="7" t="s">
        <v>658</v>
      </c>
      <c r="J26" s="7" t="s">
        <v>637</v>
      </c>
      <c r="K26" s="15">
        <v>3484.63</v>
      </c>
      <c r="L26" s="9">
        <v>37288</v>
      </c>
      <c r="M26" s="9">
        <v>5274</v>
      </c>
      <c r="N26" s="19">
        <v>2.8</v>
      </c>
    </row>
    <row r="27" spans="1:14" ht="23" customHeight="1">
      <c r="A27" s="7" t="s">
        <v>633</v>
      </c>
      <c r="B27" s="7" t="s">
        <v>665</v>
      </c>
      <c r="C27" s="7" t="s">
        <v>654</v>
      </c>
      <c r="D27" s="7" t="s">
        <v>654</v>
      </c>
      <c r="E27" s="7" t="s">
        <v>655</v>
      </c>
      <c r="F27" s="7" t="s">
        <v>656</v>
      </c>
      <c r="G27" s="7" t="s">
        <v>657</v>
      </c>
      <c r="H27" s="7" t="s">
        <v>576</v>
      </c>
      <c r="I27" s="7" t="s">
        <v>658</v>
      </c>
      <c r="J27" s="7" t="s">
        <v>640</v>
      </c>
      <c r="K27" s="15">
        <v>1484.83</v>
      </c>
      <c r="L27" s="9">
        <v>6334</v>
      </c>
      <c r="M27" s="9">
        <v>811</v>
      </c>
      <c r="N27" s="19">
        <v>0.5</v>
      </c>
    </row>
    <row r="28" spans="1:14" ht="23" customHeight="1">
      <c r="A28" s="7" t="s">
        <v>633</v>
      </c>
      <c r="B28" s="7" t="s">
        <v>666</v>
      </c>
      <c r="C28" s="7" t="s">
        <v>59</v>
      </c>
      <c r="D28" s="7" t="s">
        <v>59</v>
      </c>
      <c r="E28" s="7" t="s">
        <v>60</v>
      </c>
      <c r="F28" s="7" t="s">
        <v>635</v>
      </c>
      <c r="G28" s="7" t="s">
        <v>41</v>
      </c>
      <c r="H28" s="7" t="s">
        <v>576</v>
      </c>
      <c r="I28" s="7" t="s">
        <v>636</v>
      </c>
      <c r="J28" s="7" t="s">
        <v>640</v>
      </c>
      <c r="K28" s="15">
        <v>13184.81</v>
      </c>
      <c r="L28" s="9">
        <v>38972</v>
      </c>
      <c r="M28" s="9">
        <v>12539</v>
      </c>
      <c r="N28" s="19">
        <v>143.4</v>
      </c>
    </row>
    <row r="29" spans="1:14" ht="23" customHeight="1">
      <c r="A29" s="7" t="s">
        <v>633</v>
      </c>
      <c r="B29" s="7" t="s">
        <v>667</v>
      </c>
      <c r="C29" s="7" t="s">
        <v>59</v>
      </c>
      <c r="D29" s="7" t="s">
        <v>59</v>
      </c>
      <c r="E29" s="7" t="s">
        <v>60</v>
      </c>
      <c r="F29" s="7" t="s">
        <v>635</v>
      </c>
      <c r="G29" s="7" t="s">
        <v>41</v>
      </c>
      <c r="H29" s="7" t="s">
        <v>576</v>
      </c>
      <c r="I29" s="7" t="s">
        <v>636</v>
      </c>
      <c r="J29" s="7" t="s">
        <v>637</v>
      </c>
      <c r="K29" s="15">
        <v>10010.459999999999</v>
      </c>
      <c r="L29" s="9">
        <v>918896</v>
      </c>
      <c r="M29" s="9">
        <v>21016</v>
      </c>
      <c r="N29" s="19">
        <v>60.4</v>
      </c>
    </row>
    <row r="30" spans="1:14" ht="23" customHeight="1">
      <c r="A30" s="7" t="s">
        <v>633</v>
      </c>
      <c r="B30" s="7" t="s">
        <v>668</v>
      </c>
      <c r="C30" s="7" t="s">
        <v>59</v>
      </c>
      <c r="D30" s="7" t="s">
        <v>59</v>
      </c>
      <c r="E30" s="7" t="s">
        <v>60</v>
      </c>
      <c r="F30" s="7" t="s">
        <v>635</v>
      </c>
      <c r="G30" s="7" t="s">
        <v>41</v>
      </c>
      <c r="H30" s="7" t="s">
        <v>576</v>
      </c>
      <c r="I30" s="7" t="s">
        <v>636</v>
      </c>
      <c r="J30" s="7" t="s">
        <v>645</v>
      </c>
      <c r="K30" s="15">
        <v>3899.99</v>
      </c>
      <c r="L30" s="9">
        <v>623320</v>
      </c>
      <c r="M30" s="9">
        <v>391094</v>
      </c>
      <c r="N30" s="19">
        <v>3</v>
      </c>
    </row>
    <row r="31" spans="1:14" ht="23" customHeight="1">
      <c r="A31" s="7" t="s">
        <v>633</v>
      </c>
      <c r="B31" s="7" t="s">
        <v>669</v>
      </c>
      <c r="C31" s="7" t="s">
        <v>59</v>
      </c>
      <c r="D31" s="7" t="s">
        <v>59</v>
      </c>
      <c r="E31" s="7" t="s">
        <v>60</v>
      </c>
      <c r="F31" s="7" t="s">
        <v>635</v>
      </c>
      <c r="G31" s="7" t="s">
        <v>41</v>
      </c>
      <c r="H31" s="7" t="s">
        <v>576</v>
      </c>
      <c r="I31" s="7" t="s">
        <v>636</v>
      </c>
      <c r="J31" s="7" t="s">
        <v>640</v>
      </c>
      <c r="K31" s="15">
        <v>3810.89</v>
      </c>
      <c r="L31" s="9">
        <v>14184</v>
      </c>
      <c r="M31" s="9">
        <v>4300</v>
      </c>
      <c r="N31" s="19">
        <v>14.3</v>
      </c>
    </row>
    <row r="32" spans="1:14" ht="23" customHeight="1">
      <c r="A32" s="7" t="s">
        <v>633</v>
      </c>
      <c r="B32" s="7" t="s">
        <v>670</v>
      </c>
      <c r="C32" s="7" t="s">
        <v>59</v>
      </c>
      <c r="D32" s="7" t="s">
        <v>59</v>
      </c>
      <c r="E32" s="7" t="s">
        <v>60</v>
      </c>
      <c r="F32" s="7" t="s">
        <v>635</v>
      </c>
      <c r="G32" s="7" t="s">
        <v>41</v>
      </c>
      <c r="H32" s="7" t="s">
        <v>576</v>
      </c>
      <c r="I32" s="7" t="s">
        <v>636</v>
      </c>
      <c r="J32" s="7" t="s">
        <v>645</v>
      </c>
      <c r="K32" s="15">
        <v>1300.6199999999999</v>
      </c>
      <c r="L32" s="9">
        <v>680409</v>
      </c>
      <c r="M32" s="9">
        <v>502598</v>
      </c>
      <c r="N32" s="19">
        <v>1</v>
      </c>
    </row>
    <row r="33" spans="1:14" ht="23" customHeight="1">
      <c r="A33" s="7" t="s">
        <v>671</v>
      </c>
      <c r="B33" s="7" t="s">
        <v>634</v>
      </c>
      <c r="C33" s="7" t="s">
        <v>96</v>
      </c>
      <c r="D33" s="7" t="s">
        <v>96</v>
      </c>
      <c r="E33" s="7" t="s">
        <v>97</v>
      </c>
      <c r="F33" s="7" t="s">
        <v>635</v>
      </c>
      <c r="G33" s="7" t="s">
        <v>42</v>
      </c>
      <c r="H33" s="7" t="s">
        <v>576</v>
      </c>
      <c r="I33" s="7" t="s">
        <v>636</v>
      </c>
      <c r="J33" s="7" t="s">
        <v>637</v>
      </c>
      <c r="K33" s="15">
        <v>6768.49</v>
      </c>
      <c r="L33" s="9">
        <v>255042</v>
      </c>
      <c r="M33" s="9">
        <v>32332</v>
      </c>
      <c r="N33" s="19">
        <v>27.1</v>
      </c>
    </row>
    <row r="34" spans="1:14" ht="23" customHeight="1">
      <c r="A34" s="7" t="s">
        <v>671</v>
      </c>
      <c r="B34" s="7" t="s">
        <v>672</v>
      </c>
      <c r="C34" s="7" t="s">
        <v>76</v>
      </c>
      <c r="D34" s="7" t="s">
        <v>76</v>
      </c>
      <c r="E34" s="7" t="s">
        <v>295</v>
      </c>
      <c r="F34" s="7" t="s">
        <v>635</v>
      </c>
      <c r="G34" s="7" t="s">
        <v>42</v>
      </c>
      <c r="H34" s="7" t="s">
        <v>576</v>
      </c>
      <c r="I34" s="7" t="s">
        <v>636</v>
      </c>
      <c r="J34" s="7" t="s">
        <v>637</v>
      </c>
      <c r="K34" s="15">
        <v>1907.96</v>
      </c>
      <c r="L34" s="9">
        <v>69309</v>
      </c>
      <c r="M34" s="9">
        <v>3005</v>
      </c>
      <c r="N34" s="19">
        <v>13.2</v>
      </c>
    </row>
    <row r="35" spans="1:14" ht="23" customHeight="1">
      <c r="A35" s="7" t="s">
        <v>671</v>
      </c>
      <c r="B35" s="7" t="s">
        <v>673</v>
      </c>
      <c r="C35" s="7" t="s">
        <v>82</v>
      </c>
      <c r="D35" s="7" t="s">
        <v>82</v>
      </c>
      <c r="E35" s="7" t="s">
        <v>83</v>
      </c>
      <c r="F35" s="7" t="s">
        <v>635</v>
      </c>
      <c r="G35" s="7" t="s">
        <v>42</v>
      </c>
      <c r="H35" s="7" t="s">
        <v>576</v>
      </c>
      <c r="I35" s="7" t="s">
        <v>636</v>
      </c>
      <c r="J35" s="7" t="s">
        <v>637</v>
      </c>
      <c r="K35" s="15">
        <v>1019.39</v>
      </c>
      <c r="L35" s="9">
        <v>36566</v>
      </c>
      <c r="M35" s="9">
        <v>2030</v>
      </c>
      <c r="N35" s="19">
        <v>10</v>
      </c>
    </row>
    <row r="36" spans="1:14" ht="23" customHeight="1">
      <c r="A36" s="7" t="s">
        <v>671</v>
      </c>
      <c r="B36" s="7" t="s">
        <v>643</v>
      </c>
      <c r="C36" s="7" t="s">
        <v>62</v>
      </c>
      <c r="D36" s="7" t="s">
        <v>62</v>
      </c>
      <c r="E36" s="7" t="s">
        <v>63</v>
      </c>
      <c r="F36" s="7" t="s">
        <v>635</v>
      </c>
      <c r="G36" s="7" t="s">
        <v>41</v>
      </c>
      <c r="H36" s="7" t="s">
        <v>576</v>
      </c>
      <c r="I36" s="7" t="s">
        <v>636</v>
      </c>
      <c r="J36" s="7" t="s">
        <v>637</v>
      </c>
      <c r="K36" s="15">
        <v>5535.32</v>
      </c>
      <c r="L36" s="9">
        <v>790188</v>
      </c>
      <c r="M36" s="9">
        <v>9132</v>
      </c>
      <c r="N36" s="19">
        <v>39.4</v>
      </c>
    </row>
    <row r="37" spans="1:14" ht="23" customHeight="1">
      <c r="A37" s="7" t="s">
        <v>671</v>
      </c>
      <c r="B37" s="7" t="s">
        <v>644</v>
      </c>
      <c r="C37" s="7" t="s">
        <v>62</v>
      </c>
      <c r="D37" s="7" t="s">
        <v>62</v>
      </c>
      <c r="E37" s="7" t="s">
        <v>63</v>
      </c>
      <c r="F37" s="7" t="s">
        <v>635</v>
      </c>
      <c r="G37" s="7" t="s">
        <v>41</v>
      </c>
      <c r="H37" s="7" t="s">
        <v>576</v>
      </c>
      <c r="I37" s="7" t="s">
        <v>636</v>
      </c>
      <c r="J37" s="7" t="s">
        <v>645</v>
      </c>
      <c r="K37" s="15">
        <v>3036.7</v>
      </c>
      <c r="L37" s="9">
        <v>523900</v>
      </c>
      <c r="M37" s="9">
        <v>329892</v>
      </c>
      <c r="N37" s="19">
        <v>1</v>
      </c>
    </row>
    <row r="38" spans="1:14" ht="23" customHeight="1">
      <c r="A38" s="7" t="s">
        <v>671</v>
      </c>
      <c r="B38" s="7" t="s">
        <v>646</v>
      </c>
      <c r="C38" s="7" t="s">
        <v>62</v>
      </c>
      <c r="D38" s="7" t="s">
        <v>62</v>
      </c>
      <c r="E38" s="7" t="s">
        <v>63</v>
      </c>
      <c r="F38" s="7" t="s">
        <v>635</v>
      </c>
      <c r="G38" s="7" t="s">
        <v>41</v>
      </c>
      <c r="H38" s="7" t="s">
        <v>576</v>
      </c>
      <c r="I38" s="7" t="s">
        <v>636</v>
      </c>
      <c r="J38" s="7" t="s">
        <v>640</v>
      </c>
      <c r="K38" s="15">
        <v>1913.08</v>
      </c>
      <c r="L38" s="9">
        <v>8100</v>
      </c>
      <c r="M38" s="9">
        <v>1405</v>
      </c>
      <c r="N38" s="19">
        <v>5</v>
      </c>
    </row>
    <row r="39" spans="1:14" ht="23" customHeight="1">
      <c r="A39" s="7" t="s">
        <v>671</v>
      </c>
      <c r="B39" s="7" t="s">
        <v>649</v>
      </c>
      <c r="C39" s="7" t="s">
        <v>68</v>
      </c>
      <c r="D39" s="7" t="s">
        <v>68</v>
      </c>
      <c r="E39" s="7" t="s">
        <v>69</v>
      </c>
      <c r="F39" s="7" t="s">
        <v>635</v>
      </c>
      <c r="G39" s="7" t="s">
        <v>41</v>
      </c>
      <c r="H39" s="7" t="s">
        <v>576</v>
      </c>
      <c r="I39" s="7" t="s">
        <v>636</v>
      </c>
      <c r="J39" s="7" t="s">
        <v>637</v>
      </c>
      <c r="K39" s="15">
        <v>28917.96</v>
      </c>
      <c r="L39" s="9">
        <v>2754843</v>
      </c>
      <c r="M39" s="9">
        <v>84282</v>
      </c>
      <c r="N39" s="19">
        <v>71.099999999999994</v>
      </c>
    </row>
    <row r="40" spans="1:14" ht="23" customHeight="1">
      <c r="A40" s="7" t="s">
        <v>671</v>
      </c>
      <c r="B40" s="7" t="s">
        <v>650</v>
      </c>
      <c r="C40" s="7" t="s">
        <v>64</v>
      </c>
      <c r="D40" s="7" t="s">
        <v>64</v>
      </c>
      <c r="E40" s="7" t="s">
        <v>65</v>
      </c>
      <c r="F40" s="7" t="s">
        <v>635</v>
      </c>
      <c r="G40" s="7" t="s">
        <v>41</v>
      </c>
      <c r="H40" s="7" t="s">
        <v>576</v>
      </c>
      <c r="I40" s="7" t="s">
        <v>636</v>
      </c>
      <c r="J40" s="7" t="s">
        <v>637</v>
      </c>
      <c r="K40" s="15">
        <v>3060.9</v>
      </c>
      <c r="L40" s="9">
        <v>48756</v>
      </c>
      <c r="M40" s="9">
        <v>4173</v>
      </c>
      <c r="N40" s="19">
        <v>8.8000000000000007</v>
      </c>
    </row>
    <row r="41" spans="1:14" ht="23" customHeight="1">
      <c r="A41" s="7" t="s">
        <v>671</v>
      </c>
      <c r="B41" s="7" t="s">
        <v>674</v>
      </c>
      <c r="C41" s="7" t="s">
        <v>654</v>
      </c>
      <c r="D41" s="7" t="s">
        <v>654</v>
      </c>
      <c r="E41" s="7" t="s">
        <v>655</v>
      </c>
      <c r="F41" s="7" t="s">
        <v>656</v>
      </c>
      <c r="G41" s="7" t="s">
        <v>657</v>
      </c>
      <c r="H41" s="7" t="s">
        <v>576</v>
      </c>
      <c r="I41" s="7" t="s">
        <v>658</v>
      </c>
      <c r="J41" s="7" t="s">
        <v>645</v>
      </c>
      <c r="K41" s="15">
        <v>30997.91</v>
      </c>
      <c r="L41" s="9">
        <v>3518472</v>
      </c>
      <c r="M41" s="9">
        <v>2446877</v>
      </c>
      <c r="N41" s="19">
        <v>1</v>
      </c>
    </row>
    <row r="42" spans="1:14" ht="23" customHeight="1">
      <c r="A42" s="7" t="s">
        <v>671</v>
      </c>
      <c r="B42" s="7" t="s">
        <v>653</v>
      </c>
      <c r="C42" s="7" t="s">
        <v>654</v>
      </c>
      <c r="D42" s="7" t="s">
        <v>654</v>
      </c>
      <c r="E42" s="7" t="s">
        <v>655</v>
      </c>
      <c r="F42" s="7" t="s">
        <v>656</v>
      </c>
      <c r="G42" s="7" t="s">
        <v>657</v>
      </c>
      <c r="H42" s="7" t="s">
        <v>576</v>
      </c>
      <c r="I42" s="7" t="s">
        <v>658</v>
      </c>
      <c r="J42" s="7" t="s">
        <v>637</v>
      </c>
      <c r="K42" s="15">
        <v>17524.59</v>
      </c>
      <c r="L42" s="9">
        <v>3160676</v>
      </c>
      <c r="M42" s="9">
        <v>33098</v>
      </c>
      <c r="N42" s="19">
        <v>324.10000000000002</v>
      </c>
    </row>
    <row r="43" spans="1:14" ht="23" customHeight="1">
      <c r="A43" s="7" t="s">
        <v>671</v>
      </c>
      <c r="B43" s="7" t="s">
        <v>659</v>
      </c>
      <c r="C43" s="7" t="s">
        <v>654</v>
      </c>
      <c r="D43" s="7" t="s">
        <v>654</v>
      </c>
      <c r="E43" s="7" t="s">
        <v>655</v>
      </c>
      <c r="F43" s="7" t="s">
        <v>656</v>
      </c>
      <c r="G43" s="7" t="s">
        <v>657</v>
      </c>
      <c r="H43" s="7" t="s">
        <v>576</v>
      </c>
      <c r="I43" s="7" t="s">
        <v>658</v>
      </c>
      <c r="J43" s="7" t="s">
        <v>637</v>
      </c>
      <c r="K43" s="15">
        <v>10741.96</v>
      </c>
      <c r="L43" s="9">
        <v>2001277</v>
      </c>
      <c r="M43" s="9">
        <v>29735</v>
      </c>
      <c r="N43" s="19">
        <v>169.2</v>
      </c>
    </row>
    <row r="44" spans="1:14" ht="23" customHeight="1">
      <c r="A44" s="7" t="s">
        <v>671</v>
      </c>
      <c r="B44" s="7" t="s">
        <v>660</v>
      </c>
      <c r="C44" s="7" t="s">
        <v>654</v>
      </c>
      <c r="D44" s="7" t="s">
        <v>654</v>
      </c>
      <c r="E44" s="7" t="s">
        <v>655</v>
      </c>
      <c r="F44" s="7" t="s">
        <v>656</v>
      </c>
      <c r="G44" s="7" t="s">
        <v>657</v>
      </c>
      <c r="H44" s="7" t="s">
        <v>576</v>
      </c>
      <c r="I44" s="7" t="s">
        <v>658</v>
      </c>
      <c r="J44" s="7" t="s">
        <v>640</v>
      </c>
      <c r="K44" s="15">
        <v>8309.7000000000007</v>
      </c>
      <c r="L44" s="9">
        <v>66962</v>
      </c>
      <c r="M44" s="9">
        <v>13676</v>
      </c>
      <c r="N44" s="19">
        <v>155.30000000000001</v>
      </c>
    </row>
    <row r="45" spans="1:14" ht="23" customHeight="1">
      <c r="A45" s="7" t="s">
        <v>671</v>
      </c>
      <c r="B45" s="7" t="s">
        <v>675</v>
      </c>
      <c r="C45" s="7" t="s">
        <v>654</v>
      </c>
      <c r="D45" s="7" t="s">
        <v>654</v>
      </c>
      <c r="E45" s="7" t="s">
        <v>655</v>
      </c>
      <c r="F45" s="7" t="s">
        <v>656</v>
      </c>
      <c r="G45" s="7" t="s">
        <v>657</v>
      </c>
      <c r="H45" s="7" t="s">
        <v>576</v>
      </c>
      <c r="I45" s="7" t="s">
        <v>658</v>
      </c>
      <c r="J45" s="7" t="s">
        <v>645</v>
      </c>
      <c r="K45" s="15">
        <v>8299.4599999999991</v>
      </c>
      <c r="L45" s="9">
        <v>2102255</v>
      </c>
      <c r="M45" s="9">
        <v>1327460</v>
      </c>
      <c r="N45" s="19">
        <v>2</v>
      </c>
    </row>
    <row r="46" spans="1:14" ht="23" customHeight="1">
      <c r="A46" s="7" t="s">
        <v>671</v>
      </c>
      <c r="B46" s="7" t="s">
        <v>676</v>
      </c>
      <c r="C46" s="7" t="s">
        <v>654</v>
      </c>
      <c r="D46" s="7" t="s">
        <v>654</v>
      </c>
      <c r="E46" s="7" t="s">
        <v>655</v>
      </c>
      <c r="F46" s="7" t="s">
        <v>656</v>
      </c>
      <c r="G46" s="7" t="s">
        <v>657</v>
      </c>
      <c r="H46" s="7" t="s">
        <v>576</v>
      </c>
      <c r="I46" s="7" t="s">
        <v>658</v>
      </c>
      <c r="J46" s="7" t="s">
        <v>645</v>
      </c>
      <c r="K46" s="15">
        <v>8298.5400000000009</v>
      </c>
      <c r="L46" s="9">
        <v>3213621</v>
      </c>
      <c r="M46" s="9">
        <v>1721714</v>
      </c>
      <c r="N46" s="19">
        <v>0</v>
      </c>
    </row>
    <row r="47" spans="1:14" ht="23" customHeight="1">
      <c r="A47" s="7" t="s">
        <v>671</v>
      </c>
      <c r="B47" s="7" t="s">
        <v>662</v>
      </c>
      <c r="C47" s="7" t="s">
        <v>654</v>
      </c>
      <c r="D47" s="7" t="s">
        <v>654</v>
      </c>
      <c r="E47" s="7" t="s">
        <v>655</v>
      </c>
      <c r="F47" s="7" t="s">
        <v>656</v>
      </c>
      <c r="G47" s="7" t="s">
        <v>657</v>
      </c>
      <c r="H47" s="7" t="s">
        <v>576</v>
      </c>
      <c r="I47" s="7" t="s">
        <v>658</v>
      </c>
      <c r="J47" s="7" t="s">
        <v>640</v>
      </c>
      <c r="K47" s="15">
        <v>8228.74</v>
      </c>
      <c r="L47" s="9">
        <v>42929</v>
      </c>
      <c r="M47" s="9">
        <v>10369</v>
      </c>
      <c r="N47" s="19">
        <v>77.900000000000006</v>
      </c>
    </row>
    <row r="48" spans="1:14" ht="23" customHeight="1">
      <c r="A48" s="7" t="s">
        <v>671</v>
      </c>
      <c r="B48" s="7" t="s">
        <v>677</v>
      </c>
      <c r="C48" s="7" t="s">
        <v>654</v>
      </c>
      <c r="D48" s="7" t="s">
        <v>654</v>
      </c>
      <c r="E48" s="7" t="s">
        <v>655</v>
      </c>
      <c r="F48" s="7" t="s">
        <v>656</v>
      </c>
      <c r="G48" s="7" t="s">
        <v>657</v>
      </c>
      <c r="H48" s="7" t="s">
        <v>576</v>
      </c>
      <c r="I48" s="7" t="s">
        <v>658</v>
      </c>
      <c r="J48" s="7" t="s">
        <v>645</v>
      </c>
      <c r="K48" s="15">
        <v>4899.0600000000004</v>
      </c>
      <c r="L48" s="9">
        <v>1402651</v>
      </c>
      <c r="M48" s="9">
        <v>760656</v>
      </c>
      <c r="N48" s="19">
        <v>0</v>
      </c>
    </row>
    <row r="49" spans="1:14" ht="23" customHeight="1">
      <c r="A49" s="7" t="s">
        <v>671</v>
      </c>
      <c r="B49" s="7" t="s">
        <v>661</v>
      </c>
      <c r="C49" s="7" t="s">
        <v>654</v>
      </c>
      <c r="D49" s="7" t="s">
        <v>654</v>
      </c>
      <c r="E49" s="7" t="s">
        <v>655</v>
      </c>
      <c r="F49" s="7" t="s">
        <v>656</v>
      </c>
      <c r="G49" s="7" t="s">
        <v>657</v>
      </c>
      <c r="H49" s="7" t="s">
        <v>576</v>
      </c>
      <c r="I49" s="7" t="s">
        <v>658</v>
      </c>
      <c r="J49" s="7" t="s">
        <v>640</v>
      </c>
      <c r="K49" s="15">
        <v>4387.22</v>
      </c>
      <c r="L49" s="9">
        <v>25867</v>
      </c>
      <c r="M49" s="9">
        <v>4222</v>
      </c>
      <c r="N49" s="19">
        <v>31.3</v>
      </c>
    </row>
    <row r="50" spans="1:14" ht="23" customHeight="1">
      <c r="A50" s="7" t="s">
        <v>671</v>
      </c>
      <c r="B50" s="7" t="s">
        <v>663</v>
      </c>
      <c r="C50" s="7" t="s">
        <v>654</v>
      </c>
      <c r="D50" s="7" t="s">
        <v>654</v>
      </c>
      <c r="E50" s="7" t="s">
        <v>655</v>
      </c>
      <c r="F50" s="7" t="s">
        <v>656</v>
      </c>
      <c r="G50" s="7" t="s">
        <v>657</v>
      </c>
      <c r="H50" s="7" t="s">
        <v>576</v>
      </c>
      <c r="I50" s="7" t="s">
        <v>658</v>
      </c>
      <c r="J50" s="7" t="s">
        <v>637</v>
      </c>
      <c r="K50" s="15">
        <v>3604.49</v>
      </c>
      <c r="L50" s="9">
        <v>230333</v>
      </c>
      <c r="M50" s="9">
        <v>12093</v>
      </c>
      <c r="N50" s="19">
        <v>64.099999999999994</v>
      </c>
    </row>
    <row r="51" spans="1:14" ht="23" customHeight="1">
      <c r="A51" s="7" t="s">
        <v>671</v>
      </c>
      <c r="B51" s="7" t="s">
        <v>666</v>
      </c>
      <c r="C51" s="7" t="s">
        <v>59</v>
      </c>
      <c r="D51" s="7" t="s">
        <v>59</v>
      </c>
      <c r="E51" s="7" t="s">
        <v>60</v>
      </c>
      <c r="F51" s="7" t="s">
        <v>635</v>
      </c>
      <c r="G51" s="7" t="s">
        <v>41</v>
      </c>
      <c r="H51" s="7" t="s">
        <v>576</v>
      </c>
      <c r="I51" s="7" t="s">
        <v>636</v>
      </c>
      <c r="J51" s="7" t="s">
        <v>640</v>
      </c>
      <c r="K51" s="15">
        <v>12299.95</v>
      </c>
      <c r="L51" s="9">
        <v>40826</v>
      </c>
      <c r="M51" s="9">
        <v>16377</v>
      </c>
      <c r="N51" s="19">
        <v>180.3</v>
      </c>
    </row>
    <row r="52" spans="1:14" ht="23" customHeight="1">
      <c r="A52" s="7" t="s">
        <v>671</v>
      </c>
      <c r="B52" s="7" t="s">
        <v>667</v>
      </c>
      <c r="C52" s="7" t="s">
        <v>59</v>
      </c>
      <c r="D52" s="7" t="s">
        <v>59</v>
      </c>
      <c r="E52" s="7" t="s">
        <v>60</v>
      </c>
      <c r="F52" s="7" t="s">
        <v>635</v>
      </c>
      <c r="G52" s="7" t="s">
        <v>41</v>
      </c>
      <c r="H52" s="7" t="s">
        <v>576</v>
      </c>
      <c r="I52" s="7" t="s">
        <v>636</v>
      </c>
      <c r="J52" s="7" t="s">
        <v>637</v>
      </c>
      <c r="K52" s="15">
        <v>7692.95</v>
      </c>
      <c r="L52" s="9">
        <v>661291</v>
      </c>
      <c r="M52" s="9">
        <v>9681</v>
      </c>
      <c r="N52" s="19">
        <v>77.8</v>
      </c>
    </row>
    <row r="53" spans="1:14" ht="23" customHeight="1">
      <c r="A53" s="7" t="s">
        <v>671</v>
      </c>
      <c r="B53" s="7" t="s">
        <v>678</v>
      </c>
      <c r="C53" s="7" t="s">
        <v>59</v>
      </c>
      <c r="D53" s="7" t="s">
        <v>59</v>
      </c>
      <c r="E53" s="7" t="s">
        <v>60</v>
      </c>
      <c r="F53" s="7" t="s">
        <v>635</v>
      </c>
      <c r="G53" s="7" t="s">
        <v>41</v>
      </c>
      <c r="H53" s="7" t="s">
        <v>576</v>
      </c>
      <c r="I53" s="7" t="s">
        <v>636</v>
      </c>
      <c r="J53" s="7" t="s">
        <v>637</v>
      </c>
      <c r="K53" s="15">
        <v>6147.73</v>
      </c>
      <c r="L53" s="9">
        <v>174594</v>
      </c>
      <c r="M53" s="9">
        <v>4238</v>
      </c>
      <c r="N53" s="19">
        <v>26.8</v>
      </c>
    </row>
    <row r="54" spans="1:14" ht="23" customHeight="1">
      <c r="A54" s="7" t="s">
        <v>671</v>
      </c>
      <c r="B54" s="7" t="s">
        <v>669</v>
      </c>
      <c r="C54" s="7" t="s">
        <v>59</v>
      </c>
      <c r="D54" s="7" t="s">
        <v>59</v>
      </c>
      <c r="E54" s="7" t="s">
        <v>60</v>
      </c>
      <c r="F54" s="7" t="s">
        <v>635</v>
      </c>
      <c r="G54" s="7" t="s">
        <v>41</v>
      </c>
      <c r="H54" s="7" t="s">
        <v>576</v>
      </c>
      <c r="I54" s="7" t="s">
        <v>636</v>
      </c>
      <c r="J54" s="7" t="s">
        <v>640</v>
      </c>
      <c r="K54" s="15">
        <v>1783.06</v>
      </c>
      <c r="L54" s="9">
        <v>12417</v>
      </c>
      <c r="M54" s="9">
        <v>6301</v>
      </c>
      <c r="N54" s="19">
        <v>32</v>
      </c>
    </row>
    <row r="55" spans="1:14" ht="23" customHeight="1">
      <c r="A55" s="7" t="s">
        <v>671</v>
      </c>
      <c r="B55" s="7" t="s">
        <v>679</v>
      </c>
      <c r="C55" s="7" t="s">
        <v>74</v>
      </c>
      <c r="D55" s="7" t="s">
        <v>74</v>
      </c>
      <c r="E55" s="7" t="s">
        <v>579</v>
      </c>
      <c r="F55" s="7" t="s">
        <v>635</v>
      </c>
      <c r="G55" s="7" t="s">
        <v>42</v>
      </c>
      <c r="H55" s="7" t="s">
        <v>576</v>
      </c>
      <c r="I55" s="7" t="s">
        <v>636</v>
      </c>
      <c r="J55" s="7" t="s">
        <v>637</v>
      </c>
      <c r="K55" s="15">
        <v>3088.19</v>
      </c>
      <c r="L55" s="9">
        <v>76895</v>
      </c>
      <c r="M55" s="9">
        <v>14942</v>
      </c>
      <c r="N55" s="19">
        <v>16.399999999999999</v>
      </c>
    </row>
    <row r="56" spans="1:14" ht="23" customHeight="1">
      <c r="A56" s="7" t="s">
        <v>680</v>
      </c>
      <c r="B56" s="7" t="s">
        <v>672</v>
      </c>
      <c r="C56" s="7" t="s">
        <v>76</v>
      </c>
      <c r="D56" s="7" t="s">
        <v>76</v>
      </c>
      <c r="E56" s="7" t="s">
        <v>295</v>
      </c>
      <c r="F56" s="7" t="s">
        <v>635</v>
      </c>
      <c r="G56" s="7" t="s">
        <v>42</v>
      </c>
      <c r="H56" s="7" t="s">
        <v>576</v>
      </c>
      <c r="I56" s="7" t="s">
        <v>636</v>
      </c>
      <c r="J56" s="7" t="s">
        <v>637</v>
      </c>
      <c r="K56" s="15">
        <v>223.77</v>
      </c>
      <c r="L56" s="9">
        <v>5961</v>
      </c>
      <c r="M56" s="9">
        <v>244</v>
      </c>
      <c r="N56" s="19">
        <v>0</v>
      </c>
    </row>
    <row r="57" spans="1:14" ht="23" customHeight="1">
      <c r="A57" s="7" t="s">
        <v>680</v>
      </c>
      <c r="B57" s="7" t="s">
        <v>673</v>
      </c>
      <c r="C57" s="7" t="s">
        <v>82</v>
      </c>
      <c r="D57" s="7" t="s">
        <v>82</v>
      </c>
      <c r="E57" s="7" t="s">
        <v>83</v>
      </c>
      <c r="F57" s="7" t="s">
        <v>635</v>
      </c>
      <c r="G57" s="7" t="s">
        <v>42</v>
      </c>
      <c r="H57" s="7" t="s">
        <v>576</v>
      </c>
      <c r="I57" s="7" t="s">
        <v>636</v>
      </c>
      <c r="J57" s="7" t="s">
        <v>637</v>
      </c>
      <c r="K57" s="15">
        <v>332.8</v>
      </c>
      <c r="L57" s="9">
        <v>18006</v>
      </c>
      <c r="M57" s="9">
        <v>565</v>
      </c>
      <c r="N57" s="19">
        <v>3</v>
      </c>
    </row>
    <row r="58" spans="1:14" ht="23" customHeight="1">
      <c r="A58" s="7" t="s">
        <v>680</v>
      </c>
      <c r="B58" s="7" t="s">
        <v>649</v>
      </c>
      <c r="C58" s="7" t="s">
        <v>68</v>
      </c>
      <c r="D58" s="7" t="s">
        <v>68</v>
      </c>
      <c r="E58" s="7" t="s">
        <v>69</v>
      </c>
      <c r="F58" s="7" t="s">
        <v>635</v>
      </c>
      <c r="G58" s="7" t="s">
        <v>41</v>
      </c>
      <c r="H58" s="7" t="s">
        <v>576</v>
      </c>
      <c r="I58" s="7" t="s">
        <v>636</v>
      </c>
      <c r="J58" s="7" t="s">
        <v>637</v>
      </c>
      <c r="K58" s="15">
        <v>555.94000000000005</v>
      </c>
      <c r="L58" s="9">
        <v>60312</v>
      </c>
      <c r="M58" s="9">
        <v>15580</v>
      </c>
      <c r="N58" s="19">
        <v>1.4</v>
      </c>
    </row>
    <row r="59" spans="1:14" ht="23" customHeight="1">
      <c r="A59" s="7" t="s">
        <v>680</v>
      </c>
      <c r="B59" s="7" t="s">
        <v>653</v>
      </c>
      <c r="C59" s="7" t="s">
        <v>654</v>
      </c>
      <c r="D59" s="7" t="s">
        <v>654</v>
      </c>
      <c r="E59" s="7" t="s">
        <v>655</v>
      </c>
      <c r="F59" s="7" t="s">
        <v>656</v>
      </c>
      <c r="G59" s="7" t="s">
        <v>657</v>
      </c>
      <c r="H59" s="7" t="s">
        <v>576</v>
      </c>
      <c r="I59" s="7" t="s">
        <v>658</v>
      </c>
      <c r="J59" s="7" t="s">
        <v>637</v>
      </c>
      <c r="K59" s="15">
        <v>14123.72</v>
      </c>
      <c r="L59" s="9">
        <v>2514480</v>
      </c>
      <c r="M59" s="9">
        <v>29978</v>
      </c>
      <c r="N59" s="19">
        <v>290.10000000000002</v>
      </c>
    </row>
    <row r="60" spans="1:14" ht="23" customHeight="1">
      <c r="A60" s="7" t="s">
        <v>680</v>
      </c>
      <c r="B60" s="7" t="s">
        <v>662</v>
      </c>
      <c r="C60" s="7" t="s">
        <v>654</v>
      </c>
      <c r="D60" s="7" t="s">
        <v>654</v>
      </c>
      <c r="E60" s="7" t="s">
        <v>655</v>
      </c>
      <c r="F60" s="7" t="s">
        <v>656</v>
      </c>
      <c r="G60" s="7" t="s">
        <v>657</v>
      </c>
      <c r="H60" s="7" t="s">
        <v>576</v>
      </c>
      <c r="I60" s="7" t="s">
        <v>658</v>
      </c>
      <c r="J60" s="7" t="s">
        <v>640</v>
      </c>
      <c r="K60" s="15">
        <v>5876.28</v>
      </c>
      <c r="L60" s="9">
        <v>74560</v>
      </c>
      <c r="M60" s="9">
        <v>23666</v>
      </c>
      <c r="N60" s="19">
        <v>204.3</v>
      </c>
    </row>
    <row r="61" spans="1:14" ht="23" customHeight="1">
      <c r="A61" s="7" t="s">
        <v>680</v>
      </c>
      <c r="B61" s="7" t="s">
        <v>659</v>
      </c>
      <c r="C61" s="7" t="s">
        <v>654</v>
      </c>
      <c r="D61" s="7" t="s">
        <v>654</v>
      </c>
      <c r="E61" s="7" t="s">
        <v>655</v>
      </c>
      <c r="F61" s="7" t="s">
        <v>656</v>
      </c>
      <c r="G61" s="7" t="s">
        <v>657</v>
      </c>
      <c r="H61" s="7" t="s">
        <v>576</v>
      </c>
      <c r="I61" s="7" t="s">
        <v>658</v>
      </c>
      <c r="J61" s="7" t="s">
        <v>637</v>
      </c>
      <c r="K61" s="15">
        <v>5381.96</v>
      </c>
      <c r="L61" s="9">
        <v>1850328</v>
      </c>
      <c r="M61" s="9">
        <v>29393</v>
      </c>
      <c r="N61" s="19">
        <v>157.9</v>
      </c>
    </row>
    <row r="62" spans="1:14" ht="23" customHeight="1">
      <c r="A62" s="7" t="s">
        <v>680</v>
      </c>
      <c r="B62" s="7" t="s">
        <v>660</v>
      </c>
      <c r="C62" s="7" t="s">
        <v>654</v>
      </c>
      <c r="D62" s="7" t="s">
        <v>654</v>
      </c>
      <c r="E62" s="7" t="s">
        <v>655</v>
      </c>
      <c r="F62" s="7" t="s">
        <v>656</v>
      </c>
      <c r="G62" s="7" t="s">
        <v>657</v>
      </c>
      <c r="H62" s="7" t="s">
        <v>576</v>
      </c>
      <c r="I62" s="7" t="s">
        <v>658</v>
      </c>
      <c r="J62" s="7" t="s">
        <v>640</v>
      </c>
      <c r="K62" s="15">
        <v>3445.28</v>
      </c>
      <c r="L62" s="9">
        <v>33312</v>
      </c>
      <c r="M62" s="9">
        <v>11121</v>
      </c>
      <c r="N62" s="19">
        <v>139.9</v>
      </c>
    </row>
    <row r="63" spans="1:14" ht="23" customHeight="1">
      <c r="A63" s="7" t="s">
        <v>680</v>
      </c>
      <c r="B63" s="7" t="s">
        <v>663</v>
      </c>
      <c r="C63" s="7" t="s">
        <v>654</v>
      </c>
      <c r="D63" s="7" t="s">
        <v>654</v>
      </c>
      <c r="E63" s="7" t="s">
        <v>655</v>
      </c>
      <c r="F63" s="7" t="s">
        <v>656</v>
      </c>
      <c r="G63" s="7" t="s">
        <v>657</v>
      </c>
      <c r="H63" s="7" t="s">
        <v>576</v>
      </c>
      <c r="I63" s="7" t="s">
        <v>658</v>
      </c>
      <c r="J63" s="7" t="s">
        <v>637</v>
      </c>
      <c r="K63" s="15">
        <v>2505.58</v>
      </c>
      <c r="L63" s="9">
        <v>406914</v>
      </c>
      <c r="M63" s="9">
        <v>17288</v>
      </c>
      <c r="N63" s="19">
        <v>171.1</v>
      </c>
    </row>
    <row r="64" spans="1:14" ht="23" customHeight="1">
      <c r="A64" s="7" t="s">
        <v>680</v>
      </c>
      <c r="B64" s="7" t="s">
        <v>681</v>
      </c>
      <c r="C64" s="7" t="s">
        <v>654</v>
      </c>
      <c r="D64" s="7" t="s">
        <v>654</v>
      </c>
      <c r="E64" s="7" t="s">
        <v>655</v>
      </c>
      <c r="F64" s="7" t="s">
        <v>656</v>
      </c>
      <c r="G64" s="7" t="s">
        <v>657</v>
      </c>
      <c r="H64" s="7" t="s">
        <v>576</v>
      </c>
      <c r="I64" s="7" t="s">
        <v>658</v>
      </c>
      <c r="J64" s="7" t="s">
        <v>640</v>
      </c>
      <c r="K64" s="15">
        <v>2074.79</v>
      </c>
      <c r="L64" s="9">
        <v>11453</v>
      </c>
      <c r="M64" s="9">
        <v>3936</v>
      </c>
      <c r="N64" s="19">
        <v>20</v>
      </c>
    </row>
    <row r="65" spans="1:14" ht="23" customHeight="1">
      <c r="A65" s="7" t="s">
        <v>680</v>
      </c>
      <c r="B65" s="7" t="s">
        <v>682</v>
      </c>
      <c r="C65" s="7" t="s">
        <v>654</v>
      </c>
      <c r="D65" s="7" t="s">
        <v>654</v>
      </c>
      <c r="E65" s="7" t="s">
        <v>655</v>
      </c>
      <c r="F65" s="7" t="s">
        <v>656</v>
      </c>
      <c r="G65" s="7" t="s">
        <v>657</v>
      </c>
      <c r="H65" s="7" t="s">
        <v>576</v>
      </c>
      <c r="I65" s="7" t="s">
        <v>658</v>
      </c>
      <c r="J65" s="7" t="s">
        <v>637</v>
      </c>
      <c r="K65" s="15">
        <v>1172.28</v>
      </c>
      <c r="L65" s="9">
        <v>347810</v>
      </c>
      <c r="M65" s="9">
        <v>21062</v>
      </c>
      <c r="N65" s="19">
        <v>7</v>
      </c>
    </row>
    <row r="66" spans="1:14" ht="23" customHeight="1">
      <c r="A66" s="7" t="s">
        <v>680</v>
      </c>
      <c r="B66" s="7" t="s">
        <v>683</v>
      </c>
      <c r="C66" s="7" t="s">
        <v>654</v>
      </c>
      <c r="D66" s="7" t="s">
        <v>654</v>
      </c>
      <c r="E66" s="7" t="s">
        <v>655</v>
      </c>
      <c r="F66" s="7" t="s">
        <v>656</v>
      </c>
      <c r="G66" s="7" t="s">
        <v>657</v>
      </c>
      <c r="H66" s="7" t="s">
        <v>576</v>
      </c>
      <c r="I66" s="7" t="s">
        <v>658</v>
      </c>
      <c r="J66" s="7" t="s">
        <v>637</v>
      </c>
      <c r="K66" s="15">
        <v>1128.3900000000001</v>
      </c>
      <c r="L66" s="9">
        <v>112097</v>
      </c>
      <c r="M66" s="9">
        <v>3710</v>
      </c>
      <c r="N66" s="19">
        <v>6</v>
      </c>
    </row>
    <row r="67" spans="1:14" ht="23" customHeight="1">
      <c r="A67" s="7" t="s">
        <v>680</v>
      </c>
      <c r="B67" s="7" t="s">
        <v>674</v>
      </c>
      <c r="C67" s="7" t="s">
        <v>654</v>
      </c>
      <c r="D67" s="7" t="s">
        <v>654</v>
      </c>
      <c r="E67" s="7" t="s">
        <v>655</v>
      </c>
      <c r="F67" s="7" t="s">
        <v>656</v>
      </c>
      <c r="G67" s="7" t="s">
        <v>657</v>
      </c>
      <c r="H67" s="7" t="s">
        <v>576</v>
      </c>
      <c r="I67" s="7" t="s">
        <v>658</v>
      </c>
      <c r="J67" s="7" t="s">
        <v>645</v>
      </c>
      <c r="K67" s="15">
        <v>1091.94</v>
      </c>
      <c r="L67" s="9">
        <v>162676</v>
      </c>
      <c r="M67" s="9">
        <v>80027</v>
      </c>
      <c r="N67" s="19">
        <v>0</v>
      </c>
    </row>
    <row r="68" spans="1:14" ht="23" customHeight="1">
      <c r="A68" s="7" t="s">
        <v>680</v>
      </c>
      <c r="B68" s="7" t="s">
        <v>675</v>
      </c>
      <c r="C68" s="7" t="s">
        <v>654</v>
      </c>
      <c r="D68" s="7" t="s">
        <v>654</v>
      </c>
      <c r="E68" s="7" t="s">
        <v>655</v>
      </c>
      <c r="F68" s="7" t="s">
        <v>656</v>
      </c>
      <c r="G68" s="7" t="s">
        <v>657</v>
      </c>
      <c r="H68" s="7" t="s">
        <v>576</v>
      </c>
      <c r="I68" s="7" t="s">
        <v>658</v>
      </c>
      <c r="J68" s="7" t="s">
        <v>645</v>
      </c>
      <c r="K68" s="15">
        <v>281.98</v>
      </c>
      <c r="L68" s="9">
        <v>82325</v>
      </c>
      <c r="M68" s="9">
        <v>51249</v>
      </c>
      <c r="N68" s="19">
        <v>0</v>
      </c>
    </row>
    <row r="69" spans="1:14" ht="23" customHeight="1">
      <c r="A69" s="7" t="s">
        <v>680</v>
      </c>
      <c r="B69" s="7" t="s">
        <v>661</v>
      </c>
      <c r="C69" s="7" t="s">
        <v>654</v>
      </c>
      <c r="D69" s="7" t="s">
        <v>654</v>
      </c>
      <c r="E69" s="7" t="s">
        <v>655</v>
      </c>
      <c r="F69" s="7" t="s">
        <v>656</v>
      </c>
      <c r="G69" s="7" t="s">
        <v>657</v>
      </c>
      <c r="H69" s="7" t="s">
        <v>576</v>
      </c>
      <c r="I69" s="7" t="s">
        <v>658</v>
      </c>
      <c r="J69" s="7" t="s">
        <v>640</v>
      </c>
      <c r="K69" s="15">
        <v>267.25</v>
      </c>
      <c r="L69" s="9">
        <v>1663</v>
      </c>
      <c r="M69" s="9">
        <v>268</v>
      </c>
      <c r="N69" s="19">
        <v>4</v>
      </c>
    </row>
    <row r="70" spans="1:14" ht="23" customHeight="1">
      <c r="A70" s="7" t="s">
        <v>680</v>
      </c>
      <c r="B70" s="7" t="s">
        <v>679</v>
      </c>
      <c r="C70" s="7" t="s">
        <v>74</v>
      </c>
      <c r="D70" s="7" t="s">
        <v>74</v>
      </c>
      <c r="E70" s="7" t="s">
        <v>579</v>
      </c>
      <c r="F70" s="7" t="s">
        <v>635</v>
      </c>
      <c r="G70" s="7" t="s">
        <v>42</v>
      </c>
      <c r="H70" s="7" t="s">
        <v>576</v>
      </c>
      <c r="I70" s="7" t="s">
        <v>636</v>
      </c>
      <c r="J70" s="7" t="s">
        <v>637</v>
      </c>
      <c r="K70" s="15">
        <v>703.13</v>
      </c>
      <c r="L70" s="9">
        <v>13441</v>
      </c>
      <c r="M70" s="9">
        <v>3553</v>
      </c>
      <c r="N70" s="19">
        <v>3.2</v>
      </c>
    </row>
    <row r="71" spans="1:14" ht="23" customHeight="1">
      <c r="A71" s="7" t="s">
        <v>684</v>
      </c>
      <c r="B71" s="7" t="s">
        <v>653</v>
      </c>
      <c r="C71" s="7" t="s">
        <v>654</v>
      </c>
      <c r="D71" s="7" t="s">
        <v>654</v>
      </c>
      <c r="E71" s="7" t="s">
        <v>655</v>
      </c>
      <c r="F71" s="7" t="s">
        <v>656</v>
      </c>
      <c r="G71" s="7" t="s">
        <v>657</v>
      </c>
      <c r="H71" s="7" t="s">
        <v>576</v>
      </c>
      <c r="I71" s="7" t="s">
        <v>658</v>
      </c>
      <c r="J71" s="7" t="s">
        <v>637</v>
      </c>
      <c r="K71" s="15">
        <v>19573.98</v>
      </c>
      <c r="L71" s="9">
        <v>3543756</v>
      </c>
      <c r="M71" s="9">
        <v>51236</v>
      </c>
      <c r="N71" s="19">
        <v>354.2</v>
      </c>
    </row>
    <row r="72" spans="1:14" ht="23" customHeight="1">
      <c r="A72" s="7" t="s">
        <v>684</v>
      </c>
      <c r="B72" s="7" t="s">
        <v>660</v>
      </c>
      <c r="C72" s="7" t="s">
        <v>654</v>
      </c>
      <c r="D72" s="7" t="s">
        <v>654</v>
      </c>
      <c r="E72" s="7" t="s">
        <v>655</v>
      </c>
      <c r="F72" s="7" t="s">
        <v>656</v>
      </c>
      <c r="G72" s="7" t="s">
        <v>657</v>
      </c>
      <c r="H72" s="7" t="s">
        <v>576</v>
      </c>
      <c r="I72" s="7" t="s">
        <v>658</v>
      </c>
      <c r="J72" s="7" t="s">
        <v>640</v>
      </c>
      <c r="K72" s="15">
        <v>9084.06</v>
      </c>
      <c r="L72" s="9">
        <v>74773</v>
      </c>
      <c r="M72" s="9">
        <v>24154</v>
      </c>
      <c r="N72" s="19">
        <v>210.1</v>
      </c>
    </row>
    <row r="73" spans="1:14" ht="23" customHeight="1">
      <c r="A73" s="7" t="s">
        <v>684</v>
      </c>
      <c r="B73" s="7" t="s">
        <v>662</v>
      </c>
      <c r="C73" s="7" t="s">
        <v>654</v>
      </c>
      <c r="D73" s="7" t="s">
        <v>654</v>
      </c>
      <c r="E73" s="7" t="s">
        <v>655</v>
      </c>
      <c r="F73" s="7" t="s">
        <v>656</v>
      </c>
      <c r="G73" s="7" t="s">
        <v>657</v>
      </c>
      <c r="H73" s="7" t="s">
        <v>576</v>
      </c>
      <c r="I73" s="7" t="s">
        <v>658</v>
      </c>
      <c r="J73" s="7" t="s">
        <v>640</v>
      </c>
      <c r="K73" s="15">
        <v>8259.68</v>
      </c>
      <c r="L73" s="9">
        <v>82976</v>
      </c>
      <c r="M73" s="9">
        <v>22854</v>
      </c>
      <c r="N73" s="19">
        <v>139.9</v>
      </c>
    </row>
    <row r="74" spans="1:14" ht="23" customHeight="1">
      <c r="A74" s="7" t="s">
        <v>684</v>
      </c>
      <c r="B74" s="7" t="s">
        <v>663</v>
      </c>
      <c r="C74" s="7" t="s">
        <v>654</v>
      </c>
      <c r="D74" s="7" t="s">
        <v>654</v>
      </c>
      <c r="E74" s="7" t="s">
        <v>655</v>
      </c>
      <c r="F74" s="7" t="s">
        <v>656</v>
      </c>
      <c r="G74" s="7" t="s">
        <v>657</v>
      </c>
      <c r="H74" s="7" t="s">
        <v>576</v>
      </c>
      <c r="I74" s="7" t="s">
        <v>658</v>
      </c>
      <c r="J74" s="7" t="s">
        <v>637</v>
      </c>
      <c r="K74" s="15">
        <v>4585.1000000000004</v>
      </c>
      <c r="L74" s="9">
        <v>417385</v>
      </c>
      <c r="M74" s="9">
        <v>21361</v>
      </c>
      <c r="N74" s="19">
        <v>84</v>
      </c>
    </row>
    <row r="75" spans="1:14" ht="23" customHeight="1">
      <c r="A75" s="7" t="s">
        <v>684</v>
      </c>
      <c r="B75" s="7" t="s">
        <v>683</v>
      </c>
      <c r="C75" s="7" t="s">
        <v>654</v>
      </c>
      <c r="D75" s="7" t="s">
        <v>654</v>
      </c>
      <c r="E75" s="7" t="s">
        <v>655</v>
      </c>
      <c r="F75" s="7" t="s">
        <v>656</v>
      </c>
      <c r="G75" s="7" t="s">
        <v>657</v>
      </c>
      <c r="H75" s="7" t="s">
        <v>576</v>
      </c>
      <c r="I75" s="7" t="s">
        <v>658</v>
      </c>
      <c r="J75" s="7" t="s">
        <v>637</v>
      </c>
      <c r="K75" s="15">
        <v>114.92</v>
      </c>
      <c r="L75" s="9">
        <v>11407</v>
      </c>
      <c r="M75" s="9">
        <v>254</v>
      </c>
      <c r="N75" s="19">
        <v>0</v>
      </c>
    </row>
    <row r="76" spans="1:14" ht="23" customHeight="1">
      <c r="A76" s="7" t="s">
        <v>685</v>
      </c>
      <c r="B76" s="7" t="s">
        <v>686</v>
      </c>
      <c r="C76" s="7" t="s">
        <v>64</v>
      </c>
      <c r="D76" s="7" t="s">
        <v>64</v>
      </c>
      <c r="E76" s="7" t="s">
        <v>65</v>
      </c>
      <c r="F76" s="7" t="s">
        <v>635</v>
      </c>
      <c r="G76" s="7" t="s">
        <v>41</v>
      </c>
      <c r="H76" s="7" t="s">
        <v>576</v>
      </c>
      <c r="I76" s="7" t="s">
        <v>636</v>
      </c>
      <c r="J76" s="7" t="s">
        <v>645</v>
      </c>
      <c r="K76" s="15">
        <v>2633.77</v>
      </c>
      <c r="L76" s="9">
        <v>1105813</v>
      </c>
      <c r="M76" s="9">
        <v>616456</v>
      </c>
      <c r="N76" s="19">
        <v>0</v>
      </c>
    </row>
    <row r="77" spans="1:14" ht="23" customHeight="1">
      <c r="A77" s="7" t="s">
        <v>685</v>
      </c>
      <c r="B77" s="7" t="s">
        <v>687</v>
      </c>
      <c r="C77" s="7" t="s">
        <v>64</v>
      </c>
      <c r="D77" s="7" t="s">
        <v>64</v>
      </c>
      <c r="E77" s="7" t="s">
        <v>65</v>
      </c>
      <c r="F77" s="7" t="s">
        <v>635</v>
      </c>
      <c r="G77" s="7" t="s">
        <v>41</v>
      </c>
      <c r="H77" s="7" t="s">
        <v>576</v>
      </c>
      <c r="I77" s="7" t="s">
        <v>636</v>
      </c>
      <c r="J77" s="7" t="s">
        <v>640</v>
      </c>
      <c r="K77" s="15">
        <v>540.85</v>
      </c>
      <c r="L77" s="9">
        <v>3814</v>
      </c>
      <c r="M77" s="9">
        <v>612</v>
      </c>
      <c r="N77" s="19">
        <v>0</v>
      </c>
    </row>
    <row r="78" spans="1:14" ht="23" customHeight="1">
      <c r="A78" s="7" t="s">
        <v>685</v>
      </c>
      <c r="B78" s="7" t="s">
        <v>653</v>
      </c>
      <c r="C78" s="7" t="s">
        <v>654</v>
      </c>
      <c r="D78" s="7" t="s">
        <v>654</v>
      </c>
      <c r="E78" s="7" t="s">
        <v>655</v>
      </c>
      <c r="F78" s="7" t="s">
        <v>656</v>
      </c>
      <c r="G78" s="7" t="s">
        <v>657</v>
      </c>
      <c r="H78" s="7" t="s">
        <v>576</v>
      </c>
      <c r="I78" s="7" t="s">
        <v>658</v>
      </c>
      <c r="J78" s="7" t="s">
        <v>637</v>
      </c>
      <c r="K78" s="15">
        <v>18917.599999999999</v>
      </c>
      <c r="L78" s="9">
        <v>3583676</v>
      </c>
      <c r="M78" s="9">
        <v>59031</v>
      </c>
      <c r="N78" s="19">
        <v>293.2</v>
      </c>
    </row>
    <row r="79" spans="1:14" ht="23" customHeight="1">
      <c r="A79" s="7" t="s">
        <v>685</v>
      </c>
      <c r="B79" s="7" t="s">
        <v>688</v>
      </c>
      <c r="C79" s="7" t="s">
        <v>654</v>
      </c>
      <c r="D79" s="7" t="s">
        <v>654</v>
      </c>
      <c r="E79" s="7" t="s">
        <v>655</v>
      </c>
      <c r="F79" s="7" t="s">
        <v>656</v>
      </c>
      <c r="G79" s="7" t="s">
        <v>657</v>
      </c>
      <c r="H79" s="7" t="s">
        <v>576</v>
      </c>
      <c r="I79" s="7" t="s">
        <v>658</v>
      </c>
      <c r="J79" s="7" t="s">
        <v>645</v>
      </c>
      <c r="K79" s="15">
        <v>15499.53</v>
      </c>
      <c r="L79" s="9">
        <v>2140459</v>
      </c>
      <c r="M79" s="9">
        <v>1241393</v>
      </c>
      <c r="N79" s="19">
        <v>0</v>
      </c>
    </row>
    <row r="80" spans="1:14" ht="23" customHeight="1">
      <c r="A80" s="7" t="s">
        <v>685</v>
      </c>
      <c r="B80" s="7" t="s">
        <v>660</v>
      </c>
      <c r="C80" s="7" t="s">
        <v>654</v>
      </c>
      <c r="D80" s="7" t="s">
        <v>654</v>
      </c>
      <c r="E80" s="7" t="s">
        <v>655</v>
      </c>
      <c r="F80" s="7" t="s">
        <v>656</v>
      </c>
      <c r="G80" s="7" t="s">
        <v>657</v>
      </c>
      <c r="H80" s="7" t="s">
        <v>576</v>
      </c>
      <c r="I80" s="7" t="s">
        <v>658</v>
      </c>
      <c r="J80" s="7" t="s">
        <v>640</v>
      </c>
      <c r="K80" s="15">
        <v>10213.41</v>
      </c>
      <c r="L80" s="9">
        <v>87276</v>
      </c>
      <c r="M80" s="9">
        <v>30433</v>
      </c>
      <c r="N80" s="19">
        <v>243.4</v>
      </c>
    </row>
    <row r="81" spans="1:14" ht="23" customHeight="1">
      <c r="A81" s="7" t="s">
        <v>685</v>
      </c>
      <c r="B81" s="7" t="s">
        <v>662</v>
      </c>
      <c r="C81" s="7" t="s">
        <v>654</v>
      </c>
      <c r="D81" s="7" t="s">
        <v>654</v>
      </c>
      <c r="E81" s="7" t="s">
        <v>655</v>
      </c>
      <c r="F81" s="7" t="s">
        <v>656</v>
      </c>
      <c r="G81" s="7" t="s">
        <v>657</v>
      </c>
      <c r="H81" s="7" t="s">
        <v>576</v>
      </c>
      <c r="I81" s="7" t="s">
        <v>658</v>
      </c>
      <c r="J81" s="7" t="s">
        <v>640</v>
      </c>
      <c r="K81" s="15">
        <v>8395.69</v>
      </c>
      <c r="L81" s="9">
        <v>90304</v>
      </c>
      <c r="M81" s="9">
        <v>23166</v>
      </c>
      <c r="N81" s="19">
        <v>105.7</v>
      </c>
    </row>
    <row r="82" spans="1:14" ht="23" customHeight="1">
      <c r="A82" s="7" t="s">
        <v>685</v>
      </c>
      <c r="B82" s="7" t="s">
        <v>663</v>
      </c>
      <c r="C82" s="7" t="s">
        <v>654</v>
      </c>
      <c r="D82" s="7" t="s">
        <v>654</v>
      </c>
      <c r="E82" s="7" t="s">
        <v>655</v>
      </c>
      <c r="F82" s="7" t="s">
        <v>656</v>
      </c>
      <c r="G82" s="7" t="s">
        <v>657</v>
      </c>
      <c r="H82" s="7" t="s">
        <v>576</v>
      </c>
      <c r="I82" s="7" t="s">
        <v>658</v>
      </c>
      <c r="J82" s="7" t="s">
        <v>637</v>
      </c>
      <c r="K82" s="15">
        <v>4870.33</v>
      </c>
      <c r="L82" s="9">
        <v>409253</v>
      </c>
      <c r="M82" s="9">
        <v>24662</v>
      </c>
      <c r="N82" s="19">
        <v>147.80000000000001</v>
      </c>
    </row>
    <row r="83" spans="1:14" ht="23" customHeight="1">
      <c r="A83" s="7" t="s">
        <v>689</v>
      </c>
      <c r="B83" s="7" t="s">
        <v>690</v>
      </c>
      <c r="C83" s="7" t="s">
        <v>691</v>
      </c>
      <c r="D83" s="7" t="s">
        <v>692</v>
      </c>
      <c r="E83" s="7" t="s">
        <v>693</v>
      </c>
      <c r="F83" s="7" t="s">
        <v>691</v>
      </c>
      <c r="G83" s="7" t="s">
        <v>41</v>
      </c>
      <c r="H83" s="7" t="s">
        <v>576</v>
      </c>
      <c r="I83" s="7" t="s">
        <v>636</v>
      </c>
      <c r="J83" s="7" t="s">
        <v>694</v>
      </c>
      <c r="K83" s="15">
        <v>6533.86</v>
      </c>
      <c r="L83" s="9">
        <v>1312962</v>
      </c>
      <c r="M83" s="9">
        <v>14393</v>
      </c>
      <c r="N83" s="19">
        <v>73.2</v>
      </c>
    </row>
    <row r="84" spans="1:14" ht="23" customHeight="1">
      <c r="A84" s="7" t="s">
        <v>689</v>
      </c>
      <c r="B84" s="7" t="s">
        <v>686</v>
      </c>
      <c r="C84" s="7" t="s">
        <v>64</v>
      </c>
      <c r="D84" s="7" t="s">
        <v>64</v>
      </c>
      <c r="E84" s="7" t="s">
        <v>65</v>
      </c>
      <c r="F84" s="7" t="s">
        <v>635</v>
      </c>
      <c r="G84" s="7" t="s">
        <v>41</v>
      </c>
      <c r="H84" s="7" t="s">
        <v>576</v>
      </c>
      <c r="I84" s="7" t="s">
        <v>636</v>
      </c>
      <c r="J84" s="7" t="s">
        <v>645</v>
      </c>
      <c r="K84" s="15">
        <v>13367.19</v>
      </c>
      <c r="L84" s="9">
        <v>5245137</v>
      </c>
      <c r="M84" s="9">
        <v>2519049</v>
      </c>
      <c r="N84" s="19">
        <v>0</v>
      </c>
    </row>
    <row r="85" spans="1:14" ht="23" customHeight="1">
      <c r="A85" s="7" t="s">
        <v>689</v>
      </c>
      <c r="B85" s="7" t="s">
        <v>687</v>
      </c>
      <c r="C85" s="7" t="s">
        <v>64</v>
      </c>
      <c r="D85" s="7" t="s">
        <v>64</v>
      </c>
      <c r="E85" s="7" t="s">
        <v>65</v>
      </c>
      <c r="F85" s="7" t="s">
        <v>635</v>
      </c>
      <c r="G85" s="7" t="s">
        <v>41</v>
      </c>
      <c r="H85" s="7" t="s">
        <v>576</v>
      </c>
      <c r="I85" s="7" t="s">
        <v>636</v>
      </c>
      <c r="J85" s="7" t="s">
        <v>640</v>
      </c>
      <c r="K85" s="15">
        <v>2910.18</v>
      </c>
      <c r="L85" s="9">
        <v>16807</v>
      </c>
      <c r="M85" s="9">
        <v>2186</v>
      </c>
      <c r="N85" s="19">
        <v>0</v>
      </c>
    </row>
    <row r="86" spans="1:14" ht="23" customHeight="1">
      <c r="A86" s="7" t="s">
        <v>689</v>
      </c>
      <c r="B86" s="7" t="s">
        <v>653</v>
      </c>
      <c r="C86" s="7" t="s">
        <v>654</v>
      </c>
      <c r="D86" s="7" t="s">
        <v>654</v>
      </c>
      <c r="E86" s="7" t="s">
        <v>655</v>
      </c>
      <c r="F86" s="7" t="s">
        <v>656</v>
      </c>
      <c r="G86" s="7" t="s">
        <v>657</v>
      </c>
      <c r="H86" s="7" t="s">
        <v>576</v>
      </c>
      <c r="I86" s="7" t="s">
        <v>658</v>
      </c>
      <c r="J86" s="7" t="s">
        <v>637</v>
      </c>
      <c r="K86" s="15">
        <v>16726.73</v>
      </c>
      <c r="L86" s="9">
        <v>3959111</v>
      </c>
      <c r="M86" s="9">
        <v>61293</v>
      </c>
      <c r="N86" s="19">
        <v>256.89999999999998</v>
      </c>
    </row>
    <row r="87" spans="1:14" ht="23" customHeight="1">
      <c r="A87" s="7" t="s">
        <v>689</v>
      </c>
      <c r="B87" s="7" t="s">
        <v>695</v>
      </c>
      <c r="C87" s="7" t="s">
        <v>654</v>
      </c>
      <c r="D87" s="7" t="s">
        <v>654</v>
      </c>
      <c r="E87" s="7" t="s">
        <v>655</v>
      </c>
      <c r="F87" s="7" t="s">
        <v>656</v>
      </c>
      <c r="G87" s="7" t="s">
        <v>657</v>
      </c>
      <c r="H87" s="7" t="s">
        <v>576</v>
      </c>
      <c r="I87" s="7" t="s">
        <v>658</v>
      </c>
      <c r="J87" s="7" t="s">
        <v>645</v>
      </c>
      <c r="K87" s="15">
        <v>12498.57</v>
      </c>
      <c r="L87" s="9">
        <v>2266200</v>
      </c>
      <c r="M87" s="9">
        <v>1461293</v>
      </c>
      <c r="N87" s="19">
        <v>1</v>
      </c>
    </row>
    <row r="88" spans="1:14" ht="23" customHeight="1">
      <c r="A88" s="7" t="s">
        <v>689</v>
      </c>
      <c r="B88" s="7" t="s">
        <v>660</v>
      </c>
      <c r="C88" s="7" t="s">
        <v>654</v>
      </c>
      <c r="D88" s="7" t="s">
        <v>654</v>
      </c>
      <c r="E88" s="7" t="s">
        <v>655</v>
      </c>
      <c r="F88" s="7" t="s">
        <v>656</v>
      </c>
      <c r="G88" s="7" t="s">
        <v>657</v>
      </c>
      <c r="H88" s="7" t="s">
        <v>576</v>
      </c>
      <c r="I88" s="7" t="s">
        <v>658</v>
      </c>
      <c r="J88" s="7" t="s">
        <v>640</v>
      </c>
      <c r="K88" s="15">
        <v>9437.32</v>
      </c>
      <c r="L88" s="9">
        <v>70143</v>
      </c>
      <c r="M88" s="9">
        <v>24234</v>
      </c>
      <c r="N88" s="19">
        <v>175.9</v>
      </c>
    </row>
    <row r="89" spans="1:14" ht="23" customHeight="1">
      <c r="A89" s="7" t="s">
        <v>689</v>
      </c>
      <c r="B89" s="7" t="s">
        <v>662</v>
      </c>
      <c r="C89" s="7" t="s">
        <v>654</v>
      </c>
      <c r="D89" s="7" t="s">
        <v>654</v>
      </c>
      <c r="E89" s="7" t="s">
        <v>655</v>
      </c>
      <c r="F89" s="7" t="s">
        <v>656</v>
      </c>
      <c r="G89" s="7" t="s">
        <v>657</v>
      </c>
      <c r="H89" s="7" t="s">
        <v>576</v>
      </c>
      <c r="I89" s="7" t="s">
        <v>658</v>
      </c>
      <c r="J89" s="7" t="s">
        <v>640</v>
      </c>
      <c r="K89" s="15">
        <v>9267.9699999999993</v>
      </c>
      <c r="L89" s="9">
        <v>81346</v>
      </c>
      <c r="M89" s="9">
        <v>19551</v>
      </c>
      <c r="N89" s="19">
        <v>90</v>
      </c>
    </row>
    <row r="90" spans="1:14" ht="23" customHeight="1">
      <c r="A90" s="7" t="s">
        <v>689</v>
      </c>
      <c r="B90" s="7" t="s">
        <v>696</v>
      </c>
      <c r="C90" s="7" t="s">
        <v>654</v>
      </c>
      <c r="D90" s="7" t="s">
        <v>654</v>
      </c>
      <c r="E90" s="7" t="s">
        <v>655</v>
      </c>
      <c r="F90" s="7" t="s">
        <v>656</v>
      </c>
      <c r="G90" s="7" t="s">
        <v>657</v>
      </c>
      <c r="H90" s="7" t="s">
        <v>576</v>
      </c>
      <c r="I90" s="7" t="s">
        <v>658</v>
      </c>
      <c r="J90" s="7" t="s">
        <v>645</v>
      </c>
      <c r="K90" s="15">
        <v>6633.48</v>
      </c>
      <c r="L90" s="9">
        <v>2340808</v>
      </c>
      <c r="M90" s="9">
        <v>1022504</v>
      </c>
      <c r="N90" s="19">
        <v>0</v>
      </c>
    </row>
    <row r="91" spans="1:14" ht="23" customHeight="1">
      <c r="A91" s="7" t="s">
        <v>689</v>
      </c>
      <c r="B91" s="7" t="s">
        <v>663</v>
      </c>
      <c r="C91" s="7" t="s">
        <v>654</v>
      </c>
      <c r="D91" s="7" t="s">
        <v>654</v>
      </c>
      <c r="E91" s="7" t="s">
        <v>655</v>
      </c>
      <c r="F91" s="7" t="s">
        <v>656</v>
      </c>
      <c r="G91" s="7" t="s">
        <v>657</v>
      </c>
      <c r="H91" s="7" t="s">
        <v>576</v>
      </c>
      <c r="I91" s="7" t="s">
        <v>658</v>
      </c>
      <c r="J91" s="7" t="s">
        <v>637</v>
      </c>
      <c r="K91" s="15">
        <v>5248.46</v>
      </c>
      <c r="L91" s="9">
        <v>344635</v>
      </c>
      <c r="M91" s="9">
        <v>46389</v>
      </c>
      <c r="N91" s="19">
        <v>92.2</v>
      </c>
    </row>
    <row r="92" spans="1:14" ht="23" customHeight="1">
      <c r="A92" s="7" t="s">
        <v>689</v>
      </c>
      <c r="B92" s="7" t="s">
        <v>697</v>
      </c>
      <c r="C92" s="7" t="s">
        <v>654</v>
      </c>
      <c r="D92" s="7" t="s">
        <v>654</v>
      </c>
      <c r="E92" s="7" t="s">
        <v>655</v>
      </c>
      <c r="F92" s="7" t="s">
        <v>656</v>
      </c>
      <c r="G92" s="7" t="s">
        <v>657</v>
      </c>
      <c r="H92" s="7" t="s">
        <v>576</v>
      </c>
      <c r="I92" s="7" t="s">
        <v>658</v>
      </c>
      <c r="J92" s="7" t="s">
        <v>645</v>
      </c>
      <c r="K92" s="15">
        <v>4866.32</v>
      </c>
      <c r="L92" s="9">
        <v>1959869</v>
      </c>
      <c r="M92" s="9">
        <v>1059791</v>
      </c>
      <c r="N92" s="19">
        <v>0</v>
      </c>
    </row>
    <row r="93" spans="1:14" ht="23" customHeight="1">
      <c r="A93" s="7" t="s">
        <v>689</v>
      </c>
      <c r="B93" s="7" t="s">
        <v>698</v>
      </c>
      <c r="C93" s="7" t="s">
        <v>654</v>
      </c>
      <c r="D93" s="7" t="s">
        <v>654</v>
      </c>
      <c r="E93" s="7" t="s">
        <v>655</v>
      </c>
      <c r="F93" s="7" t="s">
        <v>656</v>
      </c>
      <c r="G93" s="7" t="s">
        <v>657</v>
      </c>
      <c r="H93" s="7" t="s">
        <v>576</v>
      </c>
      <c r="I93" s="7" t="s">
        <v>658</v>
      </c>
      <c r="J93" s="7" t="s">
        <v>645</v>
      </c>
      <c r="K93" s="15">
        <v>4422.17</v>
      </c>
      <c r="L93" s="9">
        <v>1535272</v>
      </c>
      <c r="M93" s="9">
        <v>960620</v>
      </c>
      <c r="N93" s="19">
        <v>0</v>
      </c>
    </row>
    <row r="94" spans="1:14" ht="23" customHeight="1">
      <c r="A94" s="7" t="s">
        <v>689</v>
      </c>
      <c r="B94" s="7" t="s">
        <v>699</v>
      </c>
      <c r="C94" s="7" t="s">
        <v>654</v>
      </c>
      <c r="D94" s="7" t="s">
        <v>654</v>
      </c>
      <c r="E94" s="7" t="s">
        <v>655</v>
      </c>
      <c r="F94" s="7" t="s">
        <v>656</v>
      </c>
      <c r="G94" s="7" t="s">
        <v>657</v>
      </c>
      <c r="H94" s="7" t="s">
        <v>576</v>
      </c>
      <c r="I94" s="7" t="s">
        <v>658</v>
      </c>
      <c r="J94" s="7" t="s">
        <v>637</v>
      </c>
      <c r="K94" s="15">
        <v>3573.06</v>
      </c>
      <c r="L94" s="9">
        <v>749735</v>
      </c>
      <c r="M94" s="9">
        <v>20015</v>
      </c>
      <c r="N94" s="19">
        <v>4.4000000000000004</v>
      </c>
    </row>
    <row r="95" spans="1:14" ht="23" customHeight="1">
      <c r="A95" s="7" t="s">
        <v>700</v>
      </c>
      <c r="B95" s="7" t="s">
        <v>701</v>
      </c>
      <c r="C95" s="7" t="s">
        <v>702</v>
      </c>
      <c r="D95" s="7" t="s">
        <v>117</v>
      </c>
      <c r="E95" s="7" t="s">
        <v>118</v>
      </c>
      <c r="F95" s="7" t="s">
        <v>635</v>
      </c>
      <c r="G95" s="7" t="s">
        <v>43</v>
      </c>
      <c r="H95" s="7" t="s">
        <v>576</v>
      </c>
      <c r="I95" s="7" t="s">
        <v>636</v>
      </c>
      <c r="J95" s="7" t="s">
        <v>637</v>
      </c>
      <c r="K95" s="15">
        <v>8884.08</v>
      </c>
      <c r="L95" s="9">
        <v>570005</v>
      </c>
      <c r="M95" s="9">
        <v>17699</v>
      </c>
      <c r="N95" s="19">
        <v>24.2</v>
      </c>
    </row>
    <row r="96" spans="1:14" ht="23" customHeight="1">
      <c r="A96" s="7" t="s">
        <v>700</v>
      </c>
      <c r="B96" s="7" t="s">
        <v>703</v>
      </c>
      <c r="C96" s="7" t="s">
        <v>702</v>
      </c>
      <c r="D96" s="7" t="s">
        <v>117</v>
      </c>
      <c r="E96" s="7" t="s">
        <v>118</v>
      </c>
      <c r="F96" s="7" t="s">
        <v>635</v>
      </c>
      <c r="G96" s="7" t="s">
        <v>43</v>
      </c>
      <c r="H96" s="7" t="s">
        <v>576</v>
      </c>
      <c r="I96" s="7" t="s">
        <v>636</v>
      </c>
      <c r="J96" s="7" t="s">
        <v>645</v>
      </c>
      <c r="K96" s="15">
        <v>5599.35</v>
      </c>
      <c r="L96" s="9">
        <v>1314561</v>
      </c>
      <c r="M96" s="9">
        <v>827645</v>
      </c>
      <c r="N96" s="19">
        <v>0</v>
      </c>
    </row>
    <row r="97" spans="1:14" ht="23" customHeight="1">
      <c r="A97" s="7" t="s">
        <v>700</v>
      </c>
      <c r="B97" s="7" t="s">
        <v>704</v>
      </c>
      <c r="C97" s="7" t="s">
        <v>705</v>
      </c>
      <c r="D97" s="7" t="s">
        <v>119</v>
      </c>
      <c r="E97" s="7" t="s">
        <v>304</v>
      </c>
      <c r="F97" s="7" t="s">
        <v>635</v>
      </c>
      <c r="G97" s="7" t="s">
        <v>43</v>
      </c>
      <c r="H97" s="7" t="s">
        <v>576</v>
      </c>
      <c r="I97" s="7" t="s">
        <v>636</v>
      </c>
      <c r="J97" s="7" t="s">
        <v>637</v>
      </c>
      <c r="K97" s="15">
        <v>4802.51</v>
      </c>
      <c r="L97" s="9">
        <v>244854</v>
      </c>
      <c r="M97" s="9">
        <v>29437</v>
      </c>
      <c r="N97" s="19">
        <v>9.8000000000000007</v>
      </c>
    </row>
    <row r="98" spans="1:14" ht="23" customHeight="1">
      <c r="A98" s="7" t="s">
        <v>700</v>
      </c>
      <c r="B98" s="7" t="s">
        <v>706</v>
      </c>
      <c r="C98" s="7" t="s">
        <v>705</v>
      </c>
      <c r="D98" s="7" t="s">
        <v>119</v>
      </c>
      <c r="E98" s="7" t="s">
        <v>304</v>
      </c>
      <c r="F98" s="7" t="s">
        <v>635</v>
      </c>
      <c r="G98" s="7" t="s">
        <v>43</v>
      </c>
      <c r="H98" s="7" t="s">
        <v>576</v>
      </c>
      <c r="I98" s="7" t="s">
        <v>636</v>
      </c>
      <c r="J98" s="7" t="s">
        <v>645</v>
      </c>
      <c r="K98" s="15">
        <v>2999.79</v>
      </c>
      <c r="L98" s="9">
        <v>678101</v>
      </c>
      <c r="M98" s="9">
        <v>432035</v>
      </c>
      <c r="N98" s="19">
        <v>0</v>
      </c>
    </row>
    <row r="99" spans="1:14" ht="23" customHeight="1">
      <c r="A99" s="7" t="s">
        <v>700</v>
      </c>
      <c r="B99" s="7" t="s">
        <v>707</v>
      </c>
      <c r="C99" s="7" t="s">
        <v>62</v>
      </c>
      <c r="D99" s="7" t="s">
        <v>62</v>
      </c>
      <c r="E99" s="7" t="s">
        <v>63</v>
      </c>
      <c r="F99" s="7" t="s">
        <v>635</v>
      </c>
      <c r="G99" s="7" t="s">
        <v>41</v>
      </c>
      <c r="H99" s="7" t="s">
        <v>576</v>
      </c>
      <c r="I99" s="7" t="s">
        <v>636</v>
      </c>
      <c r="J99" s="7" t="s">
        <v>637</v>
      </c>
      <c r="K99" s="15">
        <v>9389.44</v>
      </c>
      <c r="L99" s="9">
        <v>1250890</v>
      </c>
      <c r="M99" s="9">
        <v>18183</v>
      </c>
      <c r="N99" s="19">
        <v>41.4</v>
      </c>
    </row>
    <row r="100" spans="1:14" ht="23" customHeight="1">
      <c r="A100" s="7" t="s">
        <v>700</v>
      </c>
      <c r="B100" s="7" t="s">
        <v>708</v>
      </c>
      <c r="C100" s="7" t="s">
        <v>62</v>
      </c>
      <c r="D100" s="7" t="s">
        <v>62</v>
      </c>
      <c r="E100" s="7" t="s">
        <v>63</v>
      </c>
      <c r="F100" s="7" t="s">
        <v>635</v>
      </c>
      <c r="G100" s="7" t="s">
        <v>41</v>
      </c>
      <c r="H100" s="7" t="s">
        <v>576</v>
      </c>
      <c r="I100" s="7" t="s">
        <v>636</v>
      </c>
      <c r="J100" s="7" t="s">
        <v>645</v>
      </c>
      <c r="K100" s="15">
        <v>1800.59</v>
      </c>
      <c r="L100" s="9">
        <v>439027</v>
      </c>
      <c r="M100" s="9">
        <v>274665</v>
      </c>
      <c r="N100" s="19">
        <v>0</v>
      </c>
    </row>
    <row r="101" spans="1:14" ht="23" customHeight="1">
      <c r="A101" s="7" t="s">
        <v>700</v>
      </c>
      <c r="B101" s="7" t="s">
        <v>690</v>
      </c>
      <c r="C101" s="7" t="s">
        <v>691</v>
      </c>
      <c r="D101" s="7" t="s">
        <v>692</v>
      </c>
      <c r="E101" s="7" t="s">
        <v>693</v>
      </c>
      <c r="F101" s="7" t="s">
        <v>691</v>
      </c>
      <c r="G101" s="7" t="s">
        <v>41</v>
      </c>
      <c r="H101" s="7" t="s">
        <v>576</v>
      </c>
      <c r="I101" s="7" t="s">
        <v>636</v>
      </c>
      <c r="J101" s="7" t="s">
        <v>694</v>
      </c>
      <c r="K101" s="15">
        <v>9804.5400000000009</v>
      </c>
      <c r="L101" s="9">
        <v>1608499</v>
      </c>
      <c r="M101" s="9">
        <v>16519</v>
      </c>
      <c r="N101" s="19">
        <v>94.1</v>
      </c>
    </row>
    <row r="102" spans="1:14" ht="23" customHeight="1">
      <c r="A102" s="7" t="s">
        <v>700</v>
      </c>
      <c r="B102" s="7" t="s">
        <v>709</v>
      </c>
      <c r="C102" s="7" t="s">
        <v>68</v>
      </c>
      <c r="D102" s="7" t="s">
        <v>68</v>
      </c>
      <c r="E102" s="7" t="s">
        <v>69</v>
      </c>
      <c r="F102" s="7" t="s">
        <v>635</v>
      </c>
      <c r="G102" s="7" t="s">
        <v>41</v>
      </c>
      <c r="H102" s="7" t="s">
        <v>576</v>
      </c>
      <c r="I102" s="7" t="s">
        <v>636</v>
      </c>
      <c r="J102" s="7" t="s">
        <v>637</v>
      </c>
      <c r="K102" s="15">
        <v>13049.58</v>
      </c>
      <c r="L102" s="9">
        <v>691069</v>
      </c>
      <c r="M102" s="9">
        <v>23378</v>
      </c>
      <c r="N102" s="19">
        <v>33.1</v>
      </c>
    </row>
    <row r="103" spans="1:14" ht="23" customHeight="1">
      <c r="A103" s="7" t="s">
        <v>700</v>
      </c>
      <c r="B103" s="7" t="s">
        <v>710</v>
      </c>
      <c r="C103" s="7" t="s">
        <v>68</v>
      </c>
      <c r="D103" s="7" t="s">
        <v>68</v>
      </c>
      <c r="E103" s="7" t="s">
        <v>69</v>
      </c>
      <c r="F103" s="7" t="s">
        <v>635</v>
      </c>
      <c r="G103" s="7" t="s">
        <v>41</v>
      </c>
      <c r="H103" s="7" t="s">
        <v>576</v>
      </c>
      <c r="I103" s="7" t="s">
        <v>636</v>
      </c>
      <c r="J103" s="7" t="s">
        <v>645</v>
      </c>
      <c r="K103" s="15">
        <v>4499.16</v>
      </c>
      <c r="L103" s="9">
        <v>960040</v>
      </c>
      <c r="M103" s="9">
        <v>610519</v>
      </c>
      <c r="N103" s="19">
        <v>0</v>
      </c>
    </row>
    <row r="104" spans="1:14" ht="23" customHeight="1">
      <c r="A104" s="7" t="s">
        <v>700</v>
      </c>
      <c r="B104" s="7" t="s">
        <v>711</v>
      </c>
      <c r="C104" s="7" t="s">
        <v>64</v>
      </c>
      <c r="D104" s="7" t="s">
        <v>64</v>
      </c>
      <c r="E104" s="7" t="s">
        <v>65</v>
      </c>
      <c r="F104" s="7" t="s">
        <v>635</v>
      </c>
      <c r="G104" s="7" t="s">
        <v>41</v>
      </c>
      <c r="H104" s="7" t="s">
        <v>576</v>
      </c>
      <c r="I104" s="7" t="s">
        <v>636</v>
      </c>
      <c r="J104" s="7" t="s">
        <v>640</v>
      </c>
      <c r="K104" s="15">
        <v>5577.67</v>
      </c>
      <c r="L104" s="9">
        <v>22413</v>
      </c>
      <c r="M104" s="9">
        <v>3899</v>
      </c>
      <c r="N104" s="19">
        <v>8.1</v>
      </c>
    </row>
    <row r="105" spans="1:14" ht="23" customHeight="1">
      <c r="A105" s="7" t="s">
        <v>700</v>
      </c>
      <c r="B105" s="7" t="s">
        <v>712</v>
      </c>
      <c r="C105" s="7" t="s">
        <v>64</v>
      </c>
      <c r="D105" s="7" t="s">
        <v>64</v>
      </c>
      <c r="E105" s="7" t="s">
        <v>65</v>
      </c>
      <c r="F105" s="7" t="s">
        <v>635</v>
      </c>
      <c r="G105" s="7" t="s">
        <v>41</v>
      </c>
      <c r="H105" s="7" t="s">
        <v>576</v>
      </c>
      <c r="I105" s="7" t="s">
        <v>636</v>
      </c>
      <c r="J105" s="7" t="s">
        <v>637</v>
      </c>
      <c r="K105" s="15">
        <v>5312.92</v>
      </c>
      <c r="L105" s="9">
        <v>770257</v>
      </c>
      <c r="M105" s="9">
        <v>13793</v>
      </c>
      <c r="N105" s="19">
        <v>13</v>
      </c>
    </row>
    <row r="106" spans="1:14" ht="23" customHeight="1">
      <c r="A106" s="7" t="s">
        <v>700</v>
      </c>
      <c r="B106" s="7" t="s">
        <v>653</v>
      </c>
      <c r="C106" s="7" t="s">
        <v>654</v>
      </c>
      <c r="D106" s="7" t="s">
        <v>654</v>
      </c>
      <c r="E106" s="7" t="s">
        <v>655</v>
      </c>
      <c r="F106" s="7" t="s">
        <v>656</v>
      </c>
      <c r="G106" s="7" t="s">
        <v>657</v>
      </c>
      <c r="H106" s="7" t="s">
        <v>576</v>
      </c>
      <c r="I106" s="7" t="s">
        <v>658</v>
      </c>
      <c r="J106" s="7" t="s">
        <v>637</v>
      </c>
      <c r="K106" s="15">
        <v>22372.58</v>
      </c>
      <c r="L106" s="9">
        <v>4725769</v>
      </c>
      <c r="M106" s="9">
        <v>76573</v>
      </c>
      <c r="N106" s="19">
        <v>305.3</v>
      </c>
    </row>
    <row r="107" spans="1:14" ht="23" customHeight="1">
      <c r="A107" s="7" t="s">
        <v>700</v>
      </c>
      <c r="B107" s="7" t="s">
        <v>695</v>
      </c>
      <c r="C107" s="7" t="s">
        <v>654</v>
      </c>
      <c r="D107" s="7" t="s">
        <v>654</v>
      </c>
      <c r="E107" s="7" t="s">
        <v>655</v>
      </c>
      <c r="F107" s="7" t="s">
        <v>656</v>
      </c>
      <c r="G107" s="7" t="s">
        <v>657</v>
      </c>
      <c r="H107" s="7" t="s">
        <v>576</v>
      </c>
      <c r="I107" s="7" t="s">
        <v>658</v>
      </c>
      <c r="J107" s="7" t="s">
        <v>645</v>
      </c>
      <c r="K107" s="15">
        <v>12502.59</v>
      </c>
      <c r="L107" s="9">
        <v>2719835</v>
      </c>
      <c r="M107" s="9">
        <v>1757764</v>
      </c>
      <c r="N107" s="19">
        <v>0</v>
      </c>
    </row>
    <row r="108" spans="1:14" ht="23" customHeight="1">
      <c r="A108" s="7" t="s">
        <v>700</v>
      </c>
      <c r="B108" s="7" t="s">
        <v>660</v>
      </c>
      <c r="C108" s="7" t="s">
        <v>654</v>
      </c>
      <c r="D108" s="7" t="s">
        <v>654</v>
      </c>
      <c r="E108" s="7" t="s">
        <v>655</v>
      </c>
      <c r="F108" s="7" t="s">
        <v>656</v>
      </c>
      <c r="G108" s="7" t="s">
        <v>657</v>
      </c>
      <c r="H108" s="7" t="s">
        <v>576</v>
      </c>
      <c r="I108" s="7" t="s">
        <v>658</v>
      </c>
      <c r="J108" s="7" t="s">
        <v>640</v>
      </c>
      <c r="K108" s="15">
        <v>9200.5</v>
      </c>
      <c r="L108" s="9">
        <v>103993</v>
      </c>
      <c r="M108" s="9">
        <v>19855</v>
      </c>
      <c r="N108" s="19">
        <v>137</v>
      </c>
    </row>
    <row r="109" spans="1:14" ht="23" customHeight="1">
      <c r="A109" s="7" t="s">
        <v>700</v>
      </c>
      <c r="B109" s="7" t="s">
        <v>662</v>
      </c>
      <c r="C109" s="7" t="s">
        <v>654</v>
      </c>
      <c r="D109" s="7" t="s">
        <v>654</v>
      </c>
      <c r="E109" s="7" t="s">
        <v>655</v>
      </c>
      <c r="F109" s="7" t="s">
        <v>656</v>
      </c>
      <c r="G109" s="7" t="s">
        <v>657</v>
      </c>
      <c r="H109" s="7" t="s">
        <v>576</v>
      </c>
      <c r="I109" s="7" t="s">
        <v>658</v>
      </c>
      <c r="J109" s="7" t="s">
        <v>640</v>
      </c>
      <c r="K109" s="15">
        <v>8714.39</v>
      </c>
      <c r="L109" s="9">
        <v>71355</v>
      </c>
      <c r="M109" s="9">
        <v>14327</v>
      </c>
      <c r="N109" s="19">
        <v>71.5</v>
      </c>
    </row>
    <row r="110" spans="1:14" ht="23" customHeight="1">
      <c r="A110" s="7" t="s">
        <v>700</v>
      </c>
      <c r="B110" s="7" t="s">
        <v>696</v>
      </c>
      <c r="C110" s="7" t="s">
        <v>654</v>
      </c>
      <c r="D110" s="7" t="s">
        <v>654</v>
      </c>
      <c r="E110" s="7" t="s">
        <v>655</v>
      </c>
      <c r="F110" s="7" t="s">
        <v>656</v>
      </c>
      <c r="G110" s="7" t="s">
        <v>657</v>
      </c>
      <c r="H110" s="7" t="s">
        <v>576</v>
      </c>
      <c r="I110" s="7" t="s">
        <v>658</v>
      </c>
      <c r="J110" s="7" t="s">
        <v>645</v>
      </c>
      <c r="K110" s="15">
        <v>5367.86</v>
      </c>
      <c r="L110" s="9">
        <v>1973509</v>
      </c>
      <c r="M110" s="9">
        <v>1067358</v>
      </c>
      <c r="N110" s="19">
        <v>0</v>
      </c>
    </row>
    <row r="111" spans="1:14" ht="23" customHeight="1">
      <c r="A111" s="7" t="s">
        <v>700</v>
      </c>
      <c r="B111" s="7" t="s">
        <v>697</v>
      </c>
      <c r="C111" s="7" t="s">
        <v>654</v>
      </c>
      <c r="D111" s="7" t="s">
        <v>654</v>
      </c>
      <c r="E111" s="7" t="s">
        <v>655</v>
      </c>
      <c r="F111" s="7" t="s">
        <v>656</v>
      </c>
      <c r="G111" s="7" t="s">
        <v>657</v>
      </c>
      <c r="H111" s="7" t="s">
        <v>576</v>
      </c>
      <c r="I111" s="7" t="s">
        <v>658</v>
      </c>
      <c r="J111" s="7" t="s">
        <v>645</v>
      </c>
      <c r="K111" s="15">
        <v>3934.9</v>
      </c>
      <c r="L111" s="9">
        <v>1515666</v>
      </c>
      <c r="M111" s="9">
        <v>883829</v>
      </c>
      <c r="N111" s="19">
        <v>0</v>
      </c>
    </row>
    <row r="112" spans="1:14" ht="23" customHeight="1">
      <c r="A112" s="7" t="s">
        <v>700</v>
      </c>
      <c r="B112" s="7" t="s">
        <v>698</v>
      </c>
      <c r="C112" s="7" t="s">
        <v>654</v>
      </c>
      <c r="D112" s="7" t="s">
        <v>654</v>
      </c>
      <c r="E112" s="7" t="s">
        <v>655</v>
      </c>
      <c r="F112" s="7" t="s">
        <v>656</v>
      </c>
      <c r="G112" s="7" t="s">
        <v>657</v>
      </c>
      <c r="H112" s="7" t="s">
        <v>576</v>
      </c>
      <c r="I112" s="7" t="s">
        <v>658</v>
      </c>
      <c r="J112" s="7" t="s">
        <v>645</v>
      </c>
      <c r="K112" s="15">
        <v>3579.36</v>
      </c>
      <c r="L112" s="9">
        <v>1367015</v>
      </c>
      <c r="M112" s="9">
        <v>877834</v>
      </c>
      <c r="N112" s="19">
        <v>0</v>
      </c>
    </row>
    <row r="113" spans="1:14" ht="23" customHeight="1">
      <c r="A113" s="7" t="s">
        <v>700</v>
      </c>
      <c r="B113" s="7" t="s">
        <v>713</v>
      </c>
      <c r="C113" s="7" t="s">
        <v>59</v>
      </c>
      <c r="D113" s="7" t="s">
        <v>59</v>
      </c>
      <c r="E113" s="7" t="s">
        <v>60</v>
      </c>
      <c r="F113" s="7" t="s">
        <v>635</v>
      </c>
      <c r="G113" s="7" t="s">
        <v>41</v>
      </c>
      <c r="H113" s="7" t="s">
        <v>576</v>
      </c>
      <c r="I113" s="7" t="s">
        <v>636</v>
      </c>
      <c r="J113" s="7" t="s">
        <v>640</v>
      </c>
      <c r="K113" s="15">
        <v>8396.82</v>
      </c>
      <c r="L113" s="9">
        <v>40726</v>
      </c>
      <c r="M113" s="9">
        <v>12644</v>
      </c>
      <c r="N113" s="19">
        <v>64.099999999999994</v>
      </c>
    </row>
    <row r="114" spans="1:14" ht="23" customHeight="1">
      <c r="A114" s="7" t="s">
        <v>700</v>
      </c>
      <c r="B114" s="7" t="s">
        <v>714</v>
      </c>
      <c r="C114" s="7" t="s">
        <v>59</v>
      </c>
      <c r="D114" s="7" t="s">
        <v>59</v>
      </c>
      <c r="E114" s="7" t="s">
        <v>60</v>
      </c>
      <c r="F114" s="7" t="s">
        <v>635</v>
      </c>
      <c r="G114" s="7" t="s">
        <v>41</v>
      </c>
      <c r="H114" s="7" t="s">
        <v>576</v>
      </c>
      <c r="I114" s="7" t="s">
        <v>636</v>
      </c>
      <c r="J114" s="7" t="s">
        <v>637</v>
      </c>
      <c r="K114" s="15">
        <v>5109.42</v>
      </c>
      <c r="L114" s="9">
        <v>587965</v>
      </c>
      <c r="M114" s="9">
        <v>10645</v>
      </c>
      <c r="N114" s="19">
        <v>22.2</v>
      </c>
    </row>
    <row r="115" spans="1:14" ht="23" customHeight="1">
      <c r="A115" s="7" t="s">
        <v>715</v>
      </c>
      <c r="B115" s="7" t="s">
        <v>701</v>
      </c>
      <c r="C115" s="7" t="s">
        <v>702</v>
      </c>
      <c r="D115" s="7" t="s">
        <v>117</v>
      </c>
      <c r="E115" s="7" t="s">
        <v>118</v>
      </c>
      <c r="F115" s="7" t="s">
        <v>635</v>
      </c>
      <c r="G115" s="7" t="s">
        <v>43</v>
      </c>
      <c r="H115" s="7" t="s">
        <v>576</v>
      </c>
      <c r="I115" s="7" t="s">
        <v>636</v>
      </c>
      <c r="J115" s="7" t="s">
        <v>637</v>
      </c>
      <c r="K115" s="15">
        <v>17557.88</v>
      </c>
      <c r="L115" s="9">
        <v>962893</v>
      </c>
      <c r="M115" s="9">
        <v>109004</v>
      </c>
      <c r="N115" s="19">
        <v>51</v>
      </c>
    </row>
    <row r="116" spans="1:14" ht="23" customHeight="1">
      <c r="A116" s="7" t="s">
        <v>715</v>
      </c>
      <c r="B116" s="7" t="s">
        <v>716</v>
      </c>
      <c r="C116" s="7" t="s">
        <v>121</v>
      </c>
      <c r="D116" s="7" t="s">
        <v>121</v>
      </c>
      <c r="E116" s="7" t="s">
        <v>122</v>
      </c>
      <c r="F116" s="7" t="s">
        <v>635</v>
      </c>
      <c r="G116" s="7" t="s">
        <v>43</v>
      </c>
      <c r="H116" s="7" t="s">
        <v>576</v>
      </c>
      <c r="I116" s="7" t="s">
        <v>636</v>
      </c>
      <c r="J116" s="7" t="s">
        <v>637</v>
      </c>
      <c r="K116" s="15">
        <v>1800.21</v>
      </c>
      <c r="L116" s="9">
        <v>183542</v>
      </c>
      <c r="M116" s="9">
        <v>55512</v>
      </c>
      <c r="N116" s="19">
        <v>3.9</v>
      </c>
    </row>
    <row r="117" spans="1:14" ht="23" customHeight="1">
      <c r="A117" s="7" t="s">
        <v>715</v>
      </c>
      <c r="B117" s="7" t="s">
        <v>704</v>
      </c>
      <c r="C117" s="7" t="s">
        <v>705</v>
      </c>
      <c r="D117" s="7" t="s">
        <v>119</v>
      </c>
      <c r="E117" s="7" t="s">
        <v>304</v>
      </c>
      <c r="F117" s="7" t="s">
        <v>635</v>
      </c>
      <c r="G117" s="7" t="s">
        <v>43</v>
      </c>
      <c r="H117" s="7" t="s">
        <v>576</v>
      </c>
      <c r="I117" s="7" t="s">
        <v>636</v>
      </c>
      <c r="J117" s="7" t="s">
        <v>637</v>
      </c>
      <c r="K117" s="15">
        <v>8522.9500000000007</v>
      </c>
      <c r="L117" s="9">
        <v>658274</v>
      </c>
      <c r="M117" s="9">
        <v>219474</v>
      </c>
      <c r="N117" s="19">
        <v>15.1</v>
      </c>
    </row>
    <row r="118" spans="1:14" ht="23" customHeight="1">
      <c r="A118" s="7" t="s">
        <v>715</v>
      </c>
      <c r="B118" s="7" t="s">
        <v>707</v>
      </c>
      <c r="C118" s="7" t="s">
        <v>62</v>
      </c>
      <c r="D118" s="7" t="s">
        <v>62</v>
      </c>
      <c r="E118" s="7" t="s">
        <v>63</v>
      </c>
      <c r="F118" s="7" t="s">
        <v>635</v>
      </c>
      <c r="G118" s="7" t="s">
        <v>41</v>
      </c>
      <c r="H118" s="7" t="s">
        <v>576</v>
      </c>
      <c r="I118" s="7" t="s">
        <v>636</v>
      </c>
      <c r="J118" s="7" t="s">
        <v>637</v>
      </c>
      <c r="K118" s="15">
        <v>16209.76</v>
      </c>
      <c r="L118" s="9">
        <v>2365498</v>
      </c>
      <c r="M118" s="9">
        <v>62609</v>
      </c>
      <c r="N118" s="19">
        <v>46.8</v>
      </c>
    </row>
    <row r="119" spans="1:14" ht="23" customHeight="1">
      <c r="A119" s="7" t="s">
        <v>715</v>
      </c>
      <c r="B119" s="7" t="s">
        <v>690</v>
      </c>
      <c r="C119" s="7" t="s">
        <v>691</v>
      </c>
      <c r="D119" s="7" t="s">
        <v>692</v>
      </c>
      <c r="E119" s="7" t="s">
        <v>693</v>
      </c>
      <c r="F119" s="7" t="s">
        <v>691</v>
      </c>
      <c r="G119" s="7" t="s">
        <v>41</v>
      </c>
      <c r="H119" s="7" t="s">
        <v>576</v>
      </c>
      <c r="I119" s="7" t="s">
        <v>636</v>
      </c>
      <c r="J119" s="7" t="s">
        <v>694</v>
      </c>
      <c r="K119" s="15">
        <v>13098.48</v>
      </c>
      <c r="L119" s="9">
        <v>1656094</v>
      </c>
      <c r="M119" s="9">
        <v>13971</v>
      </c>
      <c r="N119" s="19">
        <v>61.4</v>
      </c>
    </row>
    <row r="120" spans="1:14" ht="23" customHeight="1">
      <c r="A120" s="7" t="s">
        <v>715</v>
      </c>
      <c r="B120" s="7" t="s">
        <v>709</v>
      </c>
      <c r="C120" s="7" t="s">
        <v>68</v>
      </c>
      <c r="D120" s="7" t="s">
        <v>68</v>
      </c>
      <c r="E120" s="7" t="s">
        <v>69</v>
      </c>
      <c r="F120" s="7" t="s">
        <v>635</v>
      </c>
      <c r="G120" s="7" t="s">
        <v>41</v>
      </c>
      <c r="H120" s="7" t="s">
        <v>576</v>
      </c>
      <c r="I120" s="7" t="s">
        <v>636</v>
      </c>
      <c r="J120" s="7" t="s">
        <v>637</v>
      </c>
      <c r="K120" s="15">
        <v>19683.38</v>
      </c>
      <c r="L120" s="9">
        <v>950402</v>
      </c>
      <c r="M120" s="9">
        <v>90894</v>
      </c>
      <c r="N120" s="19">
        <v>82.3</v>
      </c>
    </row>
    <row r="121" spans="1:14" ht="23" customHeight="1">
      <c r="A121" s="7" t="s">
        <v>715</v>
      </c>
      <c r="B121" s="7" t="s">
        <v>717</v>
      </c>
      <c r="C121" s="7" t="s">
        <v>68</v>
      </c>
      <c r="D121" s="7" t="s">
        <v>68</v>
      </c>
      <c r="E121" s="7" t="s">
        <v>69</v>
      </c>
      <c r="F121" s="7" t="s">
        <v>635</v>
      </c>
      <c r="G121" s="7" t="s">
        <v>41</v>
      </c>
      <c r="H121" s="7" t="s">
        <v>576</v>
      </c>
      <c r="I121" s="7" t="s">
        <v>636</v>
      </c>
      <c r="J121" s="7" t="s">
        <v>694</v>
      </c>
      <c r="K121" s="15">
        <v>5343.59</v>
      </c>
      <c r="L121" s="9">
        <v>955274</v>
      </c>
      <c r="M121" s="9">
        <v>6166</v>
      </c>
      <c r="N121" s="19">
        <v>5.0999999999999996</v>
      </c>
    </row>
    <row r="122" spans="1:14" ht="23" customHeight="1">
      <c r="A122" s="7" t="s">
        <v>715</v>
      </c>
      <c r="B122" s="7" t="s">
        <v>711</v>
      </c>
      <c r="C122" s="7" t="s">
        <v>64</v>
      </c>
      <c r="D122" s="7" t="s">
        <v>64</v>
      </c>
      <c r="E122" s="7" t="s">
        <v>65</v>
      </c>
      <c r="F122" s="7" t="s">
        <v>635</v>
      </c>
      <c r="G122" s="7" t="s">
        <v>41</v>
      </c>
      <c r="H122" s="7" t="s">
        <v>576</v>
      </c>
      <c r="I122" s="7" t="s">
        <v>636</v>
      </c>
      <c r="J122" s="7" t="s">
        <v>640</v>
      </c>
      <c r="K122" s="15">
        <v>8962.5</v>
      </c>
      <c r="L122" s="9">
        <v>48029</v>
      </c>
      <c r="M122" s="9">
        <v>7590</v>
      </c>
      <c r="N122" s="19">
        <v>10.8</v>
      </c>
    </row>
    <row r="123" spans="1:14" ht="23" customHeight="1">
      <c r="A123" s="7" t="s">
        <v>715</v>
      </c>
      <c r="B123" s="7" t="s">
        <v>712</v>
      </c>
      <c r="C123" s="7" t="s">
        <v>64</v>
      </c>
      <c r="D123" s="7" t="s">
        <v>64</v>
      </c>
      <c r="E123" s="7" t="s">
        <v>65</v>
      </c>
      <c r="F123" s="7" t="s">
        <v>635</v>
      </c>
      <c r="G123" s="7" t="s">
        <v>41</v>
      </c>
      <c r="H123" s="7" t="s">
        <v>576</v>
      </c>
      <c r="I123" s="7" t="s">
        <v>636</v>
      </c>
      <c r="J123" s="7" t="s">
        <v>637</v>
      </c>
      <c r="K123" s="15">
        <v>6040.71</v>
      </c>
      <c r="L123" s="9">
        <v>879929</v>
      </c>
      <c r="M123" s="9">
        <v>21737</v>
      </c>
      <c r="N123" s="19">
        <v>17.2</v>
      </c>
    </row>
    <row r="124" spans="1:14" ht="23" customHeight="1">
      <c r="A124" s="7" t="s">
        <v>715</v>
      </c>
      <c r="B124" s="7" t="s">
        <v>653</v>
      </c>
      <c r="C124" s="7" t="s">
        <v>654</v>
      </c>
      <c r="D124" s="7" t="s">
        <v>654</v>
      </c>
      <c r="E124" s="7" t="s">
        <v>655</v>
      </c>
      <c r="F124" s="7" t="s">
        <v>656</v>
      </c>
      <c r="G124" s="7" t="s">
        <v>657</v>
      </c>
      <c r="H124" s="7" t="s">
        <v>576</v>
      </c>
      <c r="I124" s="7" t="s">
        <v>658</v>
      </c>
      <c r="J124" s="7" t="s">
        <v>637</v>
      </c>
      <c r="K124" s="15">
        <v>32373.41</v>
      </c>
      <c r="L124" s="9">
        <v>5538835</v>
      </c>
      <c r="M124" s="9">
        <v>196869</v>
      </c>
      <c r="N124" s="19">
        <v>232</v>
      </c>
    </row>
    <row r="125" spans="1:14" ht="23" customHeight="1">
      <c r="A125" s="7" t="s">
        <v>715</v>
      </c>
      <c r="B125" s="7" t="s">
        <v>660</v>
      </c>
      <c r="C125" s="7" t="s">
        <v>654</v>
      </c>
      <c r="D125" s="7" t="s">
        <v>654</v>
      </c>
      <c r="E125" s="7" t="s">
        <v>655</v>
      </c>
      <c r="F125" s="7" t="s">
        <v>656</v>
      </c>
      <c r="G125" s="7" t="s">
        <v>657</v>
      </c>
      <c r="H125" s="7" t="s">
        <v>576</v>
      </c>
      <c r="I125" s="7" t="s">
        <v>658</v>
      </c>
      <c r="J125" s="7" t="s">
        <v>640</v>
      </c>
      <c r="K125" s="15">
        <v>10034.91</v>
      </c>
      <c r="L125" s="9">
        <v>128804</v>
      </c>
      <c r="M125" s="9">
        <v>15580</v>
      </c>
      <c r="N125" s="19">
        <v>92</v>
      </c>
    </row>
    <row r="126" spans="1:14" ht="23" customHeight="1">
      <c r="A126" s="7" t="s">
        <v>715</v>
      </c>
      <c r="B126" s="7" t="s">
        <v>662</v>
      </c>
      <c r="C126" s="7" t="s">
        <v>654</v>
      </c>
      <c r="D126" s="7" t="s">
        <v>654</v>
      </c>
      <c r="E126" s="7" t="s">
        <v>655</v>
      </c>
      <c r="F126" s="7" t="s">
        <v>656</v>
      </c>
      <c r="G126" s="7" t="s">
        <v>657</v>
      </c>
      <c r="H126" s="7" t="s">
        <v>576</v>
      </c>
      <c r="I126" s="7" t="s">
        <v>658</v>
      </c>
      <c r="J126" s="7" t="s">
        <v>640</v>
      </c>
      <c r="K126" s="15">
        <v>9116.94</v>
      </c>
      <c r="L126" s="9">
        <v>48129</v>
      </c>
      <c r="M126" s="9">
        <v>8580</v>
      </c>
      <c r="N126" s="19">
        <v>28.4</v>
      </c>
    </row>
    <row r="127" spans="1:14" ht="23" customHeight="1">
      <c r="A127" s="7" t="s">
        <v>715</v>
      </c>
      <c r="B127" s="7" t="s">
        <v>695</v>
      </c>
      <c r="C127" s="7" t="s">
        <v>654</v>
      </c>
      <c r="D127" s="7" t="s">
        <v>654</v>
      </c>
      <c r="E127" s="7" t="s">
        <v>655</v>
      </c>
      <c r="F127" s="7" t="s">
        <v>656</v>
      </c>
      <c r="G127" s="7" t="s">
        <v>657</v>
      </c>
      <c r="H127" s="7" t="s">
        <v>576</v>
      </c>
      <c r="I127" s="7" t="s">
        <v>658</v>
      </c>
      <c r="J127" s="7" t="s">
        <v>645</v>
      </c>
      <c r="K127" s="15">
        <v>7001.64</v>
      </c>
      <c r="L127" s="9">
        <v>1696953</v>
      </c>
      <c r="M127" s="9">
        <v>1108337</v>
      </c>
      <c r="N127" s="19">
        <v>0</v>
      </c>
    </row>
    <row r="128" spans="1:14" ht="23" customHeight="1">
      <c r="A128" s="7" t="s">
        <v>715</v>
      </c>
      <c r="B128" s="7" t="s">
        <v>696</v>
      </c>
      <c r="C128" s="7" t="s">
        <v>654</v>
      </c>
      <c r="D128" s="7" t="s">
        <v>654</v>
      </c>
      <c r="E128" s="7" t="s">
        <v>655</v>
      </c>
      <c r="F128" s="7" t="s">
        <v>656</v>
      </c>
      <c r="G128" s="7" t="s">
        <v>657</v>
      </c>
      <c r="H128" s="7" t="s">
        <v>576</v>
      </c>
      <c r="I128" s="7" t="s">
        <v>658</v>
      </c>
      <c r="J128" s="7" t="s">
        <v>645</v>
      </c>
      <c r="K128" s="15">
        <v>3100.97</v>
      </c>
      <c r="L128" s="9">
        <v>1296872</v>
      </c>
      <c r="M128" s="9">
        <v>716260</v>
      </c>
      <c r="N128" s="19">
        <v>0</v>
      </c>
    </row>
    <row r="129" spans="1:14" ht="23" customHeight="1">
      <c r="A129" s="7" t="s">
        <v>715</v>
      </c>
      <c r="B129" s="7" t="s">
        <v>697</v>
      </c>
      <c r="C129" s="7" t="s">
        <v>654</v>
      </c>
      <c r="D129" s="7" t="s">
        <v>654</v>
      </c>
      <c r="E129" s="7" t="s">
        <v>655</v>
      </c>
      <c r="F129" s="7" t="s">
        <v>656</v>
      </c>
      <c r="G129" s="7" t="s">
        <v>657</v>
      </c>
      <c r="H129" s="7" t="s">
        <v>576</v>
      </c>
      <c r="I129" s="7" t="s">
        <v>658</v>
      </c>
      <c r="J129" s="7" t="s">
        <v>645</v>
      </c>
      <c r="K129" s="15">
        <v>2301.08</v>
      </c>
      <c r="L129" s="9">
        <v>881272</v>
      </c>
      <c r="M129" s="9">
        <v>488293</v>
      </c>
      <c r="N129" s="19">
        <v>0</v>
      </c>
    </row>
    <row r="130" spans="1:14" ht="23" customHeight="1">
      <c r="A130" s="7" t="s">
        <v>715</v>
      </c>
      <c r="B130" s="7" t="s">
        <v>663</v>
      </c>
      <c r="C130" s="7" t="s">
        <v>654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576</v>
      </c>
      <c r="I130" s="7" t="s">
        <v>658</v>
      </c>
      <c r="J130" s="7" t="s">
        <v>637</v>
      </c>
      <c r="K130" s="15">
        <v>2014.65</v>
      </c>
      <c r="L130" s="9">
        <v>169116</v>
      </c>
      <c r="M130" s="9">
        <v>3802</v>
      </c>
      <c r="N130" s="19">
        <v>30.8</v>
      </c>
    </row>
    <row r="131" spans="1:14" ht="23" customHeight="1">
      <c r="A131" s="7" t="s">
        <v>715</v>
      </c>
      <c r="B131" s="7" t="s">
        <v>698</v>
      </c>
      <c r="C131" s="7" t="s">
        <v>654</v>
      </c>
      <c r="D131" s="7" t="s">
        <v>654</v>
      </c>
      <c r="E131" s="7" t="s">
        <v>655</v>
      </c>
      <c r="F131" s="7" t="s">
        <v>656</v>
      </c>
      <c r="G131" s="7" t="s">
        <v>657</v>
      </c>
      <c r="H131" s="7" t="s">
        <v>576</v>
      </c>
      <c r="I131" s="7" t="s">
        <v>658</v>
      </c>
      <c r="J131" s="7" t="s">
        <v>645</v>
      </c>
      <c r="K131" s="15">
        <v>2000.89</v>
      </c>
      <c r="L131" s="9">
        <v>879984</v>
      </c>
      <c r="M131" s="9">
        <v>542286</v>
      </c>
      <c r="N131" s="19">
        <v>0</v>
      </c>
    </row>
    <row r="132" spans="1:14" ht="23" customHeight="1">
      <c r="A132" s="7" t="s">
        <v>715</v>
      </c>
      <c r="B132" s="7" t="s">
        <v>713</v>
      </c>
      <c r="C132" s="7" t="s">
        <v>59</v>
      </c>
      <c r="D132" s="7" t="s">
        <v>59</v>
      </c>
      <c r="E132" s="7" t="s">
        <v>60</v>
      </c>
      <c r="F132" s="7" t="s">
        <v>635</v>
      </c>
      <c r="G132" s="7" t="s">
        <v>41</v>
      </c>
      <c r="H132" s="7" t="s">
        <v>576</v>
      </c>
      <c r="I132" s="7" t="s">
        <v>636</v>
      </c>
      <c r="J132" s="7" t="s">
        <v>640</v>
      </c>
      <c r="K132" s="15">
        <v>12097.37</v>
      </c>
      <c r="L132" s="9">
        <v>71677</v>
      </c>
      <c r="M132" s="9">
        <v>18248</v>
      </c>
      <c r="N132" s="19">
        <v>81.400000000000006</v>
      </c>
    </row>
    <row r="133" spans="1:14" ht="23" customHeight="1">
      <c r="A133" s="7" t="s">
        <v>715</v>
      </c>
      <c r="B133" s="7" t="s">
        <v>714</v>
      </c>
      <c r="C133" s="7" t="s">
        <v>59</v>
      </c>
      <c r="D133" s="7" t="s">
        <v>59</v>
      </c>
      <c r="E133" s="7" t="s">
        <v>60</v>
      </c>
      <c r="F133" s="7" t="s">
        <v>635</v>
      </c>
      <c r="G133" s="7" t="s">
        <v>41</v>
      </c>
      <c r="H133" s="7" t="s">
        <v>576</v>
      </c>
      <c r="I133" s="7" t="s">
        <v>636</v>
      </c>
      <c r="J133" s="7" t="s">
        <v>637</v>
      </c>
      <c r="K133" s="15">
        <v>6631.52</v>
      </c>
      <c r="L133" s="9">
        <v>806467</v>
      </c>
      <c r="M133" s="9">
        <v>17866</v>
      </c>
      <c r="N133" s="19">
        <v>24.4</v>
      </c>
    </row>
    <row r="134" spans="1:14" ht="23" customHeight="1">
      <c r="A134" s="7" t="s">
        <v>715</v>
      </c>
      <c r="B134" s="7" t="s">
        <v>718</v>
      </c>
      <c r="C134" s="7" t="s">
        <v>59</v>
      </c>
      <c r="D134" s="7" t="s">
        <v>59</v>
      </c>
      <c r="E134" s="7" t="s">
        <v>60</v>
      </c>
      <c r="F134" s="7" t="s">
        <v>635</v>
      </c>
      <c r="G134" s="7" t="s">
        <v>41</v>
      </c>
      <c r="H134" s="7" t="s">
        <v>576</v>
      </c>
      <c r="I134" s="7" t="s">
        <v>636</v>
      </c>
      <c r="J134" s="7" t="s">
        <v>694</v>
      </c>
      <c r="K134" s="15">
        <v>3622.49</v>
      </c>
      <c r="L134" s="9">
        <v>373920</v>
      </c>
      <c r="M134" s="9">
        <v>3276</v>
      </c>
      <c r="N134" s="19">
        <v>12.6</v>
      </c>
    </row>
    <row r="135" spans="1:14" ht="23" customHeight="1">
      <c r="A135" s="7" t="s">
        <v>715</v>
      </c>
      <c r="B135" s="7" t="s">
        <v>719</v>
      </c>
      <c r="C135" s="7" t="s">
        <v>59</v>
      </c>
      <c r="D135" s="7" t="s">
        <v>59</v>
      </c>
      <c r="E135" s="7" t="s">
        <v>60</v>
      </c>
      <c r="F135" s="7" t="s">
        <v>635</v>
      </c>
      <c r="G135" s="7" t="s">
        <v>41</v>
      </c>
      <c r="H135" s="7" t="s">
        <v>576</v>
      </c>
      <c r="I135" s="7" t="s">
        <v>636</v>
      </c>
      <c r="J135" s="7" t="s">
        <v>694</v>
      </c>
      <c r="K135" s="15">
        <v>0</v>
      </c>
      <c r="L135" s="9">
        <v>3</v>
      </c>
      <c r="M135" s="9">
        <v>0</v>
      </c>
      <c r="N135" s="19">
        <v>0</v>
      </c>
    </row>
    <row r="136" spans="1:14" ht="23" customHeight="1">
      <c r="A136" s="7" t="s">
        <v>720</v>
      </c>
      <c r="B136" s="7" t="s">
        <v>701</v>
      </c>
      <c r="C136" s="7" t="s">
        <v>702</v>
      </c>
      <c r="D136" s="7" t="s">
        <v>117</v>
      </c>
      <c r="E136" s="7" t="s">
        <v>118</v>
      </c>
      <c r="F136" s="7" t="s">
        <v>635</v>
      </c>
      <c r="G136" s="7" t="s">
        <v>43</v>
      </c>
      <c r="H136" s="7" t="s">
        <v>576</v>
      </c>
      <c r="I136" s="7" t="s">
        <v>636</v>
      </c>
      <c r="J136" s="7" t="s">
        <v>637</v>
      </c>
      <c r="K136" s="15">
        <v>4931.74</v>
      </c>
      <c r="L136" s="9">
        <v>104396</v>
      </c>
      <c r="M136" s="9">
        <v>24571</v>
      </c>
      <c r="N136" s="19">
        <v>7.3</v>
      </c>
    </row>
    <row r="137" spans="1:14" ht="23" customHeight="1">
      <c r="A137" s="7" t="s">
        <v>720</v>
      </c>
      <c r="B137" s="7" t="s">
        <v>716</v>
      </c>
      <c r="C137" s="7" t="s">
        <v>121</v>
      </c>
      <c r="D137" s="7" t="s">
        <v>121</v>
      </c>
      <c r="E137" s="7" t="s">
        <v>122</v>
      </c>
      <c r="F137" s="7" t="s">
        <v>635</v>
      </c>
      <c r="G137" s="7" t="s">
        <v>43</v>
      </c>
      <c r="H137" s="7" t="s">
        <v>576</v>
      </c>
      <c r="I137" s="7" t="s">
        <v>636</v>
      </c>
      <c r="J137" s="7" t="s">
        <v>637</v>
      </c>
      <c r="K137" s="15">
        <v>1222.3399999999999</v>
      </c>
      <c r="L137" s="9">
        <v>59499</v>
      </c>
      <c r="M137" s="9">
        <v>15400</v>
      </c>
      <c r="N137" s="19">
        <v>0.4</v>
      </c>
    </row>
    <row r="138" spans="1:14" ht="23" customHeight="1">
      <c r="A138" s="7" t="s">
        <v>720</v>
      </c>
      <c r="B138" s="7" t="s">
        <v>704</v>
      </c>
      <c r="C138" s="7" t="s">
        <v>705</v>
      </c>
      <c r="D138" s="7" t="s">
        <v>119</v>
      </c>
      <c r="E138" s="7" t="s">
        <v>304</v>
      </c>
      <c r="F138" s="7" t="s">
        <v>635</v>
      </c>
      <c r="G138" s="7" t="s">
        <v>43</v>
      </c>
      <c r="H138" s="7" t="s">
        <v>576</v>
      </c>
      <c r="I138" s="7" t="s">
        <v>636</v>
      </c>
      <c r="J138" s="7" t="s">
        <v>637</v>
      </c>
      <c r="K138" s="15">
        <v>2033.18</v>
      </c>
      <c r="L138" s="9">
        <v>24450</v>
      </c>
      <c r="M138" s="9">
        <v>2204</v>
      </c>
      <c r="N138" s="19">
        <v>4.2</v>
      </c>
    </row>
    <row r="139" spans="1:14" ht="23" customHeight="1">
      <c r="A139" s="7" t="s">
        <v>720</v>
      </c>
      <c r="B139" s="7" t="s">
        <v>707</v>
      </c>
      <c r="C139" s="7" t="s">
        <v>62</v>
      </c>
      <c r="D139" s="7" t="s">
        <v>62</v>
      </c>
      <c r="E139" s="7" t="s">
        <v>63</v>
      </c>
      <c r="F139" s="7" t="s">
        <v>635</v>
      </c>
      <c r="G139" s="7" t="s">
        <v>41</v>
      </c>
      <c r="H139" s="7" t="s">
        <v>576</v>
      </c>
      <c r="I139" s="7" t="s">
        <v>636</v>
      </c>
      <c r="J139" s="7" t="s">
        <v>637</v>
      </c>
      <c r="K139" s="15">
        <v>2999.22</v>
      </c>
      <c r="L139" s="9">
        <v>355982</v>
      </c>
      <c r="M139" s="9">
        <v>10432</v>
      </c>
      <c r="N139" s="19">
        <v>6</v>
      </c>
    </row>
    <row r="140" spans="1:14" ht="23" customHeight="1">
      <c r="A140" s="7" t="s">
        <v>720</v>
      </c>
      <c r="B140" s="7" t="s">
        <v>690</v>
      </c>
      <c r="C140" s="7" t="s">
        <v>691</v>
      </c>
      <c r="D140" s="7" t="s">
        <v>692</v>
      </c>
      <c r="E140" s="7" t="s">
        <v>693</v>
      </c>
      <c r="F140" s="7" t="s">
        <v>691</v>
      </c>
      <c r="G140" s="7" t="s">
        <v>41</v>
      </c>
      <c r="H140" s="7" t="s">
        <v>576</v>
      </c>
      <c r="I140" s="7" t="s">
        <v>636</v>
      </c>
      <c r="J140" s="7" t="s">
        <v>694</v>
      </c>
      <c r="K140" s="15">
        <v>4436.04</v>
      </c>
      <c r="L140" s="9">
        <v>311156</v>
      </c>
      <c r="M140" s="9">
        <v>1656</v>
      </c>
      <c r="N140" s="19">
        <v>4.3</v>
      </c>
    </row>
    <row r="141" spans="1:14" ht="23" customHeight="1">
      <c r="A141" s="7" t="s">
        <v>720</v>
      </c>
      <c r="B141" s="7" t="s">
        <v>709</v>
      </c>
      <c r="C141" s="7" t="s">
        <v>68</v>
      </c>
      <c r="D141" s="7" t="s">
        <v>68</v>
      </c>
      <c r="E141" s="7" t="s">
        <v>69</v>
      </c>
      <c r="F141" s="7" t="s">
        <v>635</v>
      </c>
      <c r="G141" s="7" t="s">
        <v>41</v>
      </c>
      <c r="H141" s="7" t="s">
        <v>576</v>
      </c>
      <c r="I141" s="7" t="s">
        <v>636</v>
      </c>
      <c r="J141" s="7" t="s">
        <v>637</v>
      </c>
      <c r="K141" s="15">
        <v>6865.73</v>
      </c>
      <c r="L141" s="9">
        <v>221523</v>
      </c>
      <c r="M141" s="9">
        <v>25972</v>
      </c>
      <c r="N141" s="19">
        <v>27.4</v>
      </c>
    </row>
    <row r="142" spans="1:14" ht="23" customHeight="1">
      <c r="A142" s="7" t="s">
        <v>720</v>
      </c>
      <c r="B142" s="7" t="s">
        <v>653</v>
      </c>
      <c r="C142" s="7" t="s">
        <v>654</v>
      </c>
      <c r="D142" s="7" t="s">
        <v>654</v>
      </c>
      <c r="E142" s="7" t="s">
        <v>655</v>
      </c>
      <c r="F142" s="7" t="s">
        <v>656</v>
      </c>
      <c r="G142" s="7" t="s">
        <v>657</v>
      </c>
      <c r="H142" s="7" t="s">
        <v>576</v>
      </c>
      <c r="I142" s="7" t="s">
        <v>658</v>
      </c>
      <c r="J142" s="7" t="s">
        <v>637</v>
      </c>
      <c r="K142" s="15">
        <v>11463.38</v>
      </c>
      <c r="L142" s="9">
        <v>1393402</v>
      </c>
      <c r="M142" s="9">
        <v>101565</v>
      </c>
      <c r="N142" s="19">
        <v>45.1</v>
      </c>
    </row>
    <row r="143" spans="1:14" ht="23" customHeight="1">
      <c r="A143" s="7" t="s">
        <v>720</v>
      </c>
      <c r="B143" s="7" t="s">
        <v>660</v>
      </c>
      <c r="C143" s="7" t="s">
        <v>654</v>
      </c>
      <c r="D143" s="7" t="s">
        <v>654</v>
      </c>
      <c r="E143" s="7" t="s">
        <v>655</v>
      </c>
      <c r="F143" s="7" t="s">
        <v>656</v>
      </c>
      <c r="G143" s="7" t="s">
        <v>657</v>
      </c>
      <c r="H143" s="7" t="s">
        <v>576</v>
      </c>
      <c r="I143" s="7" t="s">
        <v>658</v>
      </c>
      <c r="J143" s="7" t="s">
        <v>640</v>
      </c>
      <c r="K143" s="15">
        <v>3711.52</v>
      </c>
      <c r="L143" s="9">
        <v>22742</v>
      </c>
      <c r="M143" s="9">
        <v>3634</v>
      </c>
      <c r="N143" s="19">
        <v>14.8</v>
      </c>
    </row>
    <row r="144" spans="1:14" ht="23" customHeight="1">
      <c r="A144" s="7" t="s">
        <v>720</v>
      </c>
      <c r="B144" s="7" t="s">
        <v>662</v>
      </c>
      <c r="C144" s="7" t="s">
        <v>654</v>
      </c>
      <c r="D144" s="7" t="s">
        <v>654</v>
      </c>
      <c r="E144" s="7" t="s">
        <v>655</v>
      </c>
      <c r="F144" s="7" t="s">
        <v>656</v>
      </c>
      <c r="G144" s="7" t="s">
        <v>657</v>
      </c>
      <c r="H144" s="7" t="s">
        <v>576</v>
      </c>
      <c r="I144" s="7" t="s">
        <v>658</v>
      </c>
      <c r="J144" s="7" t="s">
        <v>640</v>
      </c>
      <c r="K144" s="15">
        <v>1886.62</v>
      </c>
      <c r="L144" s="9">
        <v>5180</v>
      </c>
      <c r="M144" s="9">
        <v>1449</v>
      </c>
      <c r="N144" s="19">
        <v>11.8</v>
      </c>
    </row>
    <row r="145" spans="1:14" ht="23" customHeight="1">
      <c r="A145" s="7" t="s">
        <v>720</v>
      </c>
      <c r="B145" s="7" t="s">
        <v>695</v>
      </c>
      <c r="C145" s="7" t="s">
        <v>654</v>
      </c>
      <c r="D145" s="7" t="s">
        <v>654</v>
      </c>
      <c r="E145" s="7" t="s">
        <v>655</v>
      </c>
      <c r="F145" s="7" t="s">
        <v>656</v>
      </c>
      <c r="G145" s="7" t="s">
        <v>657</v>
      </c>
      <c r="H145" s="7" t="s">
        <v>576</v>
      </c>
      <c r="I145" s="7" t="s">
        <v>658</v>
      </c>
      <c r="J145" s="7" t="s">
        <v>645</v>
      </c>
      <c r="K145" s="15">
        <v>1729.51</v>
      </c>
      <c r="L145" s="9">
        <v>351528</v>
      </c>
      <c r="M145" s="9">
        <v>211898</v>
      </c>
      <c r="N145" s="19">
        <v>0</v>
      </c>
    </row>
    <row r="146" spans="1:14" ht="23" customHeight="1">
      <c r="A146" s="7" t="s">
        <v>720</v>
      </c>
      <c r="B146" s="7" t="s">
        <v>698</v>
      </c>
      <c r="C146" s="7" t="s">
        <v>654</v>
      </c>
      <c r="D146" s="7" t="s">
        <v>654</v>
      </c>
      <c r="E146" s="7" t="s">
        <v>655</v>
      </c>
      <c r="F146" s="7" t="s">
        <v>656</v>
      </c>
      <c r="G146" s="7" t="s">
        <v>657</v>
      </c>
      <c r="H146" s="7" t="s">
        <v>576</v>
      </c>
      <c r="I146" s="7" t="s">
        <v>658</v>
      </c>
      <c r="J146" s="7" t="s">
        <v>645</v>
      </c>
      <c r="K146" s="15">
        <v>788.35</v>
      </c>
      <c r="L146" s="9">
        <v>304879</v>
      </c>
      <c r="M146" s="9">
        <v>177941</v>
      </c>
      <c r="N146" s="19">
        <v>0</v>
      </c>
    </row>
    <row r="147" spans="1:14" ht="23" customHeight="1">
      <c r="A147" s="7" t="s">
        <v>720</v>
      </c>
      <c r="B147" s="7" t="s">
        <v>696</v>
      </c>
      <c r="C147" s="7" t="s">
        <v>654</v>
      </c>
      <c r="D147" s="7" t="s">
        <v>654</v>
      </c>
      <c r="E147" s="7" t="s">
        <v>655</v>
      </c>
      <c r="F147" s="7" t="s">
        <v>656</v>
      </c>
      <c r="G147" s="7" t="s">
        <v>657</v>
      </c>
      <c r="H147" s="7" t="s">
        <v>576</v>
      </c>
      <c r="I147" s="7" t="s">
        <v>658</v>
      </c>
      <c r="J147" s="7" t="s">
        <v>645</v>
      </c>
      <c r="K147" s="15">
        <v>692.26</v>
      </c>
      <c r="L147" s="9">
        <v>283328</v>
      </c>
      <c r="M147" s="9">
        <v>161540</v>
      </c>
      <c r="N147" s="19">
        <v>0</v>
      </c>
    </row>
    <row r="148" spans="1:14" ht="23" customHeight="1">
      <c r="A148" s="7" t="s">
        <v>720</v>
      </c>
      <c r="B148" s="7" t="s">
        <v>697</v>
      </c>
      <c r="C148" s="7" t="s">
        <v>654</v>
      </c>
      <c r="D148" s="7" t="s">
        <v>654</v>
      </c>
      <c r="E148" s="7" t="s">
        <v>655</v>
      </c>
      <c r="F148" s="7" t="s">
        <v>656</v>
      </c>
      <c r="G148" s="7" t="s">
        <v>657</v>
      </c>
      <c r="H148" s="7" t="s">
        <v>576</v>
      </c>
      <c r="I148" s="7" t="s">
        <v>658</v>
      </c>
      <c r="J148" s="7" t="s">
        <v>645</v>
      </c>
      <c r="K148" s="15">
        <v>638.87</v>
      </c>
      <c r="L148" s="9">
        <v>241019</v>
      </c>
      <c r="M148" s="9">
        <v>124044</v>
      </c>
      <c r="N148" s="19">
        <v>0</v>
      </c>
    </row>
    <row r="149" spans="1:14" ht="23" customHeight="1">
      <c r="A149" s="7" t="s">
        <v>720</v>
      </c>
      <c r="B149" s="7" t="s">
        <v>713</v>
      </c>
      <c r="C149" s="7" t="s">
        <v>59</v>
      </c>
      <c r="D149" s="7" t="s">
        <v>59</v>
      </c>
      <c r="E149" s="7" t="s">
        <v>60</v>
      </c>
      <c r="F149" s="7" t="s">
        <v>635</v>
      </c>
      <c r="G149" s="7" t="s">
        <v>41</v>
      </c>
      <c r="H149" s="7" t="s">
        <v>576</v>
      </c>
      <c r="I149" s="7" t="s">
        <v>636</v>
      </c>
      <c r="J149" s="7" t="s">
        <v>640</v>
      </c>
      <c r="K149" s="15">
        <v>4190.66</v>
      </c>
      <c r="L149" s="9">
        <v>12138</v>
      </c>
      <c r="M149" s="9">
        <v>4138</v>
      </c>
      <c r="N149" s="19">
        <v>16.899999999999999</v>
      </c>
    </row>
    <row r="150" spans="1:14" ht="23" customHeight="1">
      <c r="A150" s="8" t="s">
        <v>720</v>
      </c>
      <c r="B150" s="8" t="s">
        <v>714</v>
      </c>
      <c r="C150" s="8" t="s">
        <v>59</v>
      </c>
      <c r="D150" s="8" t="s">
        <v>59</v>
      </c>
      <c r="E150" s="8" t="s">
        <v>60</v>
      </c>
      <c r="F150" s="8" t="s">
        <v>635</v>
      </c>
      <c r="G150" s="8" t="s">
        <v>41</v>
      </c>
      <c r="H150" s="8" t="s">
        <v>576</v>
      </c>
      <c r="I150" s="8" t="s">
        <v>636</v>
      </c>
      <c r="J150" s="8" t="s">
        <v>637</v>
      </c>
      <c r="K150" s="16">
        <v>1424.21</v>
      </c>
      <c r="L150" s="10">
        <v>111835</v>
      </c>
      <c r="M150" s="10">
        <v>2358</v>
      </c>
      <c r="N150" s="20">
        <v>2.4</v>
      </c>
    </row>
  </sheetData>
  <conditionalFormatting sqref="I6:I150">
    <cfRule type="containsText" dxfId="0" priority="1" operator="containsText" text="Review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Reconciliation</vt:lpstr>
      <vt:lpstr>Jan 2026</vt:lpstr>
      <vt:lpstr>Feb 2026</vt:lpstr>
      <vt:lpstr>Mar 2026</vt:lpstr>
      <vt:lpstr>Apr 2026</vt:lpstr>
      <vt:lpstr>May 2026</vt:lpstr>
      <vt:lpstr>Jun 2026</vt:lpstr>
      <vt:lpstr>Jul 2026</vt:lpstr>
      <vt:lpstr>Aug 2026</vt:lpstr>
      <vt:lpstr>Sep 2026</vt:lpstr>
      <vt:lpstr>Master Brand Map</vt:lpstr>
      <vt:lpstr>Campaign Brand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Kavita Ramrakhiani</cp:lastModifiedBy>
  <dcterms:created xsi:type="dcterms:W3CDTF">2026-09-16T08:28:14Z</dcterms:created>
  <dcterms:modified xsi:type="dcterms:W3CDTF">2026-09-16T08:28:37Z</dcterms:modified>
</cp:coreProperties>
</file>